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k310_st-andrews_ac_uk/Documents/Desktop/IR Dissertation/"/>
    </mc:Choice>
  </mc:AlternateContent>
  <xr:revisionPtr revIDLastSave="48" documentId="8_{B6AE276E-C66D-4643-B6BD-84D2D38946D7}" xr6:coauthVersionLast="47" xr6:coauthVersionMax="47" xr10:uidLastSave="{DB924E2F-99F0-4F50-A93E-3A0E500102C1}"/>
  <bookViews>
    <workbookView xWindow="-120" yWindow="-120" windowWidth="38640" windowHeight="21120" activeTab="1" xr2:uid="{02479062-E639-4155-B139-CF6A3CE64CF7}"/>
  </bookViews>
  <sheets>
    <sheet name="import-export-values_1971-2025_" sheetId="1" r:id="rId1"/>
    <sheet name="graph-generation" sheetId="2" r:id="rId2"/>
  </sheets>
  <definedNames>
    <definedName name="_xlnm._FilterDatabase" localSheetId="1" hidden="1">'graph-generation'!$A$1:$A$9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0" i="2" l="1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20" i="2"/>
  <c r="B19" i="2"/>
  <c r="B18" i="2"/>
  <c r="B17" i="2"/>
  <c r="B15" i="2"/>
  <c r="B16" i="2"/>
  <c r="B14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13" i="2"/>
</calcChain>
</file>

<file path=xl/sharedStrings.xml><?xml version="1.0" encoding="utf-8"?>
<sst xmlns="http://schemas.openxmlformats.org/spreadsheetml/2006/main" count="161" uniqueCount="33">
  <si>
    <t>Volume of transfers of major arms</t>
  </si>
  <si>
    <t>Figures are in millions of SIPRI trend-indicator values (TIVs).</t>
  </si>
  <si>
    <t>A '0' indicates that the volume of deliveries is between 0 and 0.5 million SIPRI TIV. An empty field indicates that no deliveries have been identified.</t>
  </si>
  <si>
    <t>Figures may not add up to stated totals due to the conventions of rounding.</t>
  </si>
  <si>
    <t>For the method used for the SIPRI TIV see &lt;https://www.sipri.org/databases/armstransfers/sources-and-methods&gt;.</t>
  </si>
  <si>
    <t>Source: SIPRI Arms Transfers Database (c) SIPRI.</t>
  </si>
  <si>
    <t>Data generated: 30 Apr 2025 4:58:19 AM</t>
  </si>
  <si>
    <t>Supplier</t>
  </si>
  <si>
    <t>1971-2025</t>
  </si>
  <si>
    <t>Percentage</t>
  </si>
  <si>
    <t>Sum total years</t>
  </si>
  <si>
    <t>Percentage of total</t>
  </si>
  <si>
    <t>China</t>
  </si>
  <si>
    <t>Total exports to Iran</t>
  </si>
  <si>
    <t>Total exports to Saudi Arabia</t>
  </si>
  <si>
    <t>Total exports to Iraq</t>
  </si>
  <si>
    <t>Total exports to Oman</t>
  </si>
  <si>
    <t>Total exports to Kuwait</t>
  </si>
  <si>
    <t>Total exports to Qatar</t>
  </si>
  <si>
    <t>Total exports to UAE</t>
  </si>
  <si>
    <t>Total exports to Bahrain</t>
  </si>
  <si>
    <t>Iran</t>
  </si>
  <si>
    <t>Saudi Arabia</t>
  </si>
  <si>
    <t>Iraq</t>
  </si>
  <si>
    <t>Oman</t>
  </si>
  <si>
    <t>Kuwait</t>
  </si>
  <si>
    <t>Qatar</t>
  </si>
  <si>
    <t>UAE</t>
  </si>
  <si>
    <t>Bahrain</t>
  </si>
  <si>
    <t>Basket Total</t>
  </si>
  <si>
    <t>North Korea</t>
  </si>
  <si>
    <t>Recipient</t>
  </si>
  <si>
    <t>Iran (North Korea)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</si>
</sst>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Chinese</a:t>
            </a:r>
            <a:r>
              <a:rPr lang="en-GB" baseline="0"/>
              <a:t> Arms Deliveries to the Persian Gulf (SIPRI TIV)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'graph-generation'!$A$2</c:f>
              <c:strCache>
                <c:ptCount val="1"/>
                <c:pt idx="0">
                  <c:v>Iran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'graph-generation'!$B$1:$BC$1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'graph-generation'!$B$2:$BC$2</c:f>
              <c:numCache>
                <c:formatCode>General</c:formatCode>
                <c:ptCount val="54"/>
                <c:pt idx="10">
                  <c:v>1</c:v>
                </c:pt>
                <c:pt idx="11">
                  <c:v>193</c:v>
                </c:pt>
                <c:pt idx="12">
                  <c:v>219</c:v>
                </c:pt>
                <c:pt idx="13">
                  <c:v>180</c:v>
                </c:pt>
                <c:pt idx="14">
                  <c:v>126</c:v>
                </c:pt>
                <c:pt idx="15">
                  <c:v>516</c:v>
                </c:pt>
                <c:pt idx="16">
                  <c:v>524</c:v>
                </c:pt>
                <c:pt idx="17">
                  <c:v>184</c:v>
                </c:pt>
                <c:pt idx="18">
                  <c:v>60</c:v>
                </c:pt>
                <c:pt idx="19">
                  <c:v>87</c:v>
                </c:pt>
                <c:pt idx="20">
                  <c:v>96</c:v>
                </c:pt>
                <c:pt idx="21">
                  <c:v>103</c:v>
                </c:pt>
                <c:pt idx="22">
                  <c:v>304</c:v>
                </c:pt>
                <c:pt idx="23">
                  <c:v>272</c:v>
                </c:pt>
                <c:pt idx="24">
                  <c:v>51</c:v>
                </c:pt>
                <c:pt idx="25">
                  <c:v>313</c:v>
                </c:pt>
                <c:pt idx="26">
                  <c:v>48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75</c:v>
                </c:pt>
                <c:pt idx="31">
                  <c:v>76</c:v>
                </c:pt>
                <c:pt idx="32">
                  <c:v>79</c:v>
                </c:pt>
                <c:pt idx="33">
                  <c:v>75</c:v>
                </c:pt>
                <c:pt idx="34">
                  <c:v>38</c:v>
                </c:pt>
                <c:pt idx="35">
                  <c:v>49</c:v>
                </c:pt>
                <c:pt idx="36">
                  <c:v>41</c:v>
                </c:pt>
                <c:pt idx="37">
                  <c:v>42</c:v>
                </c:pt>
                <c:pt idx="38">
                  <c:v>42</c:v>
                </c:pt>
                <c:pt idx="39">
                  <c:v>52</c:v>
                </c:pt>
                <c:pt idx="40">
                  <c:v>45</c:v>
                </c:pt>
                <c:pt idx="41">
                  <c:v>28</c:v>
                </c:pt>
                <c:pt idx="42">
                  <c:v>10</c:v>
                </c:pt>
                <c:pt idx="43">
                  <c:v>10</c:v>
                </c:pt>
                <c:pt idx="4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4-48D4-AD7E-8E5E2E409137}"/>
            </c:ext>
          </c:extLst>
        </c:ser>
        <c:ser>
          <c:idx val="1"/>
          <c:order val="1"/>
          <c:tx>
            <c:strRef>
              <c:f>'graph-generation'!$A$3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'graph-generation'!$B$1:$BC$1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'graph-generation'!$B$3:$BC$3</c:f>
              <c:numCache>
                <c:formatCode>General</c:formatCode>
                <c:ptCount val="54"/>
                <c:pt idx="16">
                  <c:v>225</c:v>
                </c:pt>
                <c:pt idx="17">
                  <c:v>225</c:v>
                </c:pt>
                <c:pt idx="37">
                  <c:v>36</c:v>
                </c:pt>
                <c:pt idx="38">
                  <c:v>36</c:v>
                </c:pt>
                <c:pt idx="44">
                  <c:v>35</c:v>
                </c:pt>
                <c:pt idx="45">
                  <c:v>35</c:v>
                </c:pt>
                <c:pt idx="46">
                  <c:v>55</c:v>
                </c:pt>
                <c:pt idx="47">
                  <c:v>76</c:v>
                </c:pt>
                <c:pt idx="48">
                  <c:v>40</c:v>
                </c:pt>
                <c:pt idx="49">
                  <c:v>40</c:v>
                </c:pt>
                <c:pt idx="50">
                  <c:v>65</c:v>
                </c:pt>
                <c:pt idx="5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14-48D4-AD7E-8E5E2E409137}"/>
            </c:ext>
          </c:extLst>
        </c:ser>
        <c:ser>
          <c:idx val="2"/>
          <c:order val="2"/>
          <c:tx>
            <c:strRef>
              <c:f>'graph-generation'!$A$4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'graph-generation'!$B$1:$BC$1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'graph-generation'!$B$4:$BC$4</c:f>
              <c:numCache>
                <c:formatCode>General</c:formatCode>
                <c:ptCount val="54"/>
                <c:pt idx="11">
                  <c:v>393</c:v>
                </c:pt>
                <c:pt idx="12">
                  <c:v>592</c:v>
                </c:pt>
                <c:pt idx="13">
                  <c:v>793</c:v>
                </c:pt>
                <c:pt idx="14">
                  <c:v>703</c:v>
                </c:pt>
                <c:pt idx="15">
                  <c:v>760</c:v>
                </c:pt>
                <c:pt idx="16">
                  <c:v>831</c:v>
                </c:pt>
                <c:pt idx="17">
                  <c:v>199</c:v>
                </c:pt>
                <c:pt idx="18">
                  <c:v>25</c:v>
                </c:pt>
                <c:pt idx="33">
                  <c:v>20</c:v>
                </c:pt>
                <c:pt idx="44">
                  <c:v>43</c:v>
                </c:pt>
                <c:pt idx="45">
                  <c:v>43</c:v>
                </c:pt>
                <c:pt idx="5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14-48D4-AD7E-8E5E2E409137}"/>
            </c:ext>
          </c:extLst>
        </c:ser>
        <c:ser>
          <c:idx val="3"/>
          <c:order val="3"/>
          <c:tx>
            <c:strRef>
              <c:f>'graph-generation'!$A$5</c:f>
              <c:strCache>
                <c:ptCount val="1"/>
                <c:pt idx="0">
                  <c:v>Oman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'graph-generation'!$B$1:$BC$1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'graph-generation'!$B$5:$BC$5</c:f>
              <c:numCache>
                <c:formatCode>General</c:formatCode>
                <c:ptCount val="54"/>
                <c:pt idx="31">
                  <c:v>4</c:v>
                </c:pt>
                <c:pt idx="3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14-48D4-AD7E-8E5E2E409137}"/>
            </c:ext>
          </c:extLst>
        </c:ser>
        <c:ser>
          <c:idx val="4"/>
          <c:order val="4"/>
          <c:tx>
            <c:strRef>
              <c:f>'graph-generation'!$A$6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'graph-generation'!$B$1:$BC$1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'graph-generation'!$B$6:$BC$6</c:f>
              <c:numCache>
                <c:formatCode>General</c:formatCode>
                <c:ptCount val="54"/>
                <c:pt idx="29">
                  <c:v>34</c:v>
                </c:pt>
                <c:pt idx="30">
                  <c:v>17</c:v>
                </c:pt>
                <c:pt idx="31">
                  <c:v>22</c:v>
                </c:pt>
                <c:pt idx="3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14-48D4-AD7E-8E5E2E409137}"/>
            </c:ext>
          </c:extLst>
        </c:ser>
        <c:ser>
          <c:idx val="5"/>
          <c:order val="5"/>
          <c:tx>
            <c:strRef>
              <c:f>'graph-generation'!$A$7</c:f>
              <c:strCache>
                <c:ptCount val="1"/>
                <c:pt idx="0">
                  <c:v>Qatar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'graph-generation'!$B$1:$BC$1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'graph-generation'!$B$7:$BC$7</c:f>
              <c:numCache>
                <c:formatCode>General</c:formatCode>
                <c:ptCount val="54"/>
                <c:pt idx="46">
                  <c:v>29</c:v>
                </c:pt>
                <c:pt idx="47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14-48D4-AD7E-8E5E2E409137}"/>
            </c:ext>
          </c:extLst>
        </c:ser>
        <c:ser>
          <c:idx val="6"/>
          <c:order val="6"/>
          <c:tx>
            <c:strRef>
              <c:f>'graph-generation'!$A$8</c:f>
              <c:strCache>
                <c:ptCount val="1"/>
                <c:pt idx="0">
                  <c:v>UAE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'graph-generation'!$B$1:$BC$1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'graph-generation'!$B$8:$BC$8</c:f>
              <c:numCache>
                <c:formatCode>General</c:formatCode>
                <c:ptCount val="54"/>
                <c:pt idx="22">
                  <c:v>7</c:v>
                </c:pt>
                <c:pt idx="23">
                  <c:v>7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37</c:v>
                </c:pt>
                <c:pt idx="47">
                  <c:v>46</c:v>
                </c:pt>
                <c:pt idx="48">
                  <c:v>12</c:v>
                </c:pt>
                <c:pt idx="4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14-48D4-AD7E-8E5E2E409137}"/>
            </c:ext>
          </c:extLst>
        </c:ser>
        <c:ser>
          <c:idx val="7"/>
          <c:order val="7"/>
          <c:tx>
            <c:strRef>
              <c:f>'graph-generation'!$A$9</c:f>
              <c:strCache>
                <c:ptCount val="1"/>
                <c:pt idx="0">
                  <c:v>Bahrain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'graph-generation'!$B$1:$BC$1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'graph-generation'!$B$9:$BC$9</c:f>
              <c:numCache>
                <c:formatCode>General</c:formatCode>
                <c:ptCount val="54"/>
                <c:pt idx="4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14-48D4-AD7E-8E5E2E40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40431"/>
        <c:axId val="83141391"/>
      </c:areaChart>
      <c:catAx>
        <c:axId val="83140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41391"/>
        <c:crosses val="autoZero"/>
        <c:auto val="1"/>
        <c:lblAlgn val="ctr"/>
        <c:lblOffset val="100"/>
        <c:noMultiLvlLbl val="0"/>
      </c:catAx>
      <c:valAx>
        <c:axId val="8314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40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 Chinese Arms Deliveries to the Persian Gulf (Sipri TIV)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72258404033411E-2"/>
          <c:y val="0.10598921611460953"/>
          <c:w val="0.88848188754351087"/>
          <c:h val="0.71980805816096483"/>
        </c:manualLayout>
      </c:layout>
      <c:areaChart>
        <c:grouping val="stacked"/>
        <c:varyColors val="0"/>
        <c:ser>
          <c:idx val="0"/>
          <c:order val="0"/>
          <c:tx>
            <c:strRef>
              <c:f>'graph-generation'!$A$13</c:f>
              <c:strCache>
                <c:ptCount val="1"/>
                <c:pt idx="0">
                  <c:v>Iran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'graph-generation'!$B$12:$BC$12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'graph-generation'!$B$13:$BC$13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194</c:v>
                </c:pt>
                <c:pt idx="12">
                  <c:v>413</c:v>
                </c:pt>
                <c:pt idx="13">
                  <c:v>593</c:v>
                </c:pt>
                <c:pt idx="14">
                  <c:v>719</c:v>
                </c:pt>
                <c:pt idx="15">
                  <c:v>1235</c:v>
                </c:pt>
                <c:pt idx="16">
                  <c:v>1759</c:v>
                </c:pt>
                <c:pt idx="17">
                  <c:v>1943</c:v>
                </c:pt>
                <c:pt idx="18">
                  <c:v>2003</c:v>
                </c:pt>
                <c:pt idx="19">
                  <c:v>2090</c:v>
                </c:pt>
                <c:pt idx="20">
                  <c:v>2186</c:v>
                </c:pt>
                <c:pt idx="21">
                  <c:v>2289</c:v>
                </c:pt>
                <c:pt idx="22">
                  <c:v>2593</c:v>
                </c:pt>
                <c:pt idx="23">
                  <c:v>2865</c:v>
                </c:pt>
                <c:pt idx="24">
                  <c:v>2916</c:v>
                </c:pt>
                <c:pt idx="25">
                  <c:v>3229</c:v>
                </c:pt>
                <c:pt idx="26">
                  <c:v>3277</c:v>
                </c:pt>
                <c:pt idx="27">
                  <c:v>3341</c:v>
                </c:pt>
                <c:pt idx="28">
                  <c:v>3405</c:v>
                </c:pt>
                <c:pt idx="29">
                  <c:v>3469</c:v>
                </c:pt>
                <c:pt idx="30">
                  <c:v>3544</c:v>
                </c:pt>
                <c:pt idx="31">
                  <c:v>3620</c:v>
                </c:pt>
                <c:pt idx="32">
                  <c:v>3699</c:v>
                </c:pt>
                <c:pt idx="33">
                  <c:v>3774</c:v>
                </c:pt>
                <c:pt idx="34">
                  <c:v>3812</c:v>
                </c:pt>
                <c:pt idx="35">
                  <c:v>3861</c:v>
                </c:pt>
                <c:pt idx="36">
                  <c:v>3902</c:v>
                </c:pt>
                <c:pt idx="37">
                  <c:v>3944</c:v>
                </c:pt>
                <c:pt idx="38">
                  <c:v>3986</c:v>
                </c:pt>
                <c:pt idx="39">
                  <c:v>4038</c:v>
                </c:pt>
                <c:pt idx="40">
                  <c:v>4083</c:v>
                </c:pt>
                <c:pt idx="41">
                  <c:v>4111</c:v>
                </c:pt>
                <c:pt idx="42">
                  <c:v>4121</c:v>
                </c:pt>
                <c:pt idx="43">
                  <c:v>4131</c:v>
                </c:pt>
                <c:pt idx="44">
                  <c:v>4138</c:v>
                </c:pt>
                <c:pt idx="45">
                  <c:v>4138</c:v>
                </c:pt>
                <c:pt idx="46">
                  <c:v>4138</c:v>
                </c:pt>
                <c:pt idx="47">
                  <c:v>4138</c:v>
                </c:pt>
                <c:pt idx="48">
                  <c:v>4138</c:v>
                </c:pt>
                <c:pt idx="49">
                  <c:v>4138</c:v>
                </c:pt>
                <c:pt idx="50">
                  <c:v>4138</c:v>
                </c:pt>
                <c:pt idx="51">
                  <c:v>4138</c:v>
                </c:pt>
                <c:pt idx="52">
                  <c:v>4138</c:v>
                </c:pt>
                <c:pt idx="53">
                  <c:v>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E-44E1-8C13-FC8A6D1A3C8C}"/>
            </c:ext>
          </c:extLst>
        </c:ser>
        <c:ser>
          <c:idx val="1"/>
          <c:order val="1"/>
          <c:tx>
            <c:strRef>
              <c:f>'graph-generation'!$A$14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'graph-generation'!$B$12:$BC$12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'graph-generation'!$B$14:$BC$14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225</c:v>
                </c:pt>
                <c:pt idx="17">
                  <c:v>450</c:v>
                </c:pt>
                <c:pt idx="18">
                  <c:v>450</c:v>
                </c:pt>
                <c:pt idx="19">
                  <c:v>450</c:v>
                </c:pt>
                <c:pt idx="20">
                  <c:v>450</c:v>
                </c:pt>
                <c:pt idx="21">
                  <c:v>450</c:v>
                </c:pt>
                <c:pt idx="22">
                  <c:v>450</c:v>
                </c:pt>
                <c:pt idx="23">
                  <c:v>450</c:v>
                </c:pt>
                <c:pt idx="24">
                  <c:v>450</c:v>
                </c:pt>
                <c:pt idx="25">
                  <c:v>450</c:v>
                </c:pt>
                <c:pt idx="26">
                  <c:v>450</c:v>
                </c:pt>
                <c:pt idx="27">
                  <c:v>450</c:v>
                </c:pt>
                <c:pt idx="28">
                  <c:v>450</c:v>
                </c:pt>
                <c:pt idx="29">
                  <c:v>450</c:v>
                </c:pt>
                <c:pt idx="30">
                  <c:v>450</c:v>
                </c:pt>
                <c:pt idx="31">
                  <c:v>450</c:v>
                </c:pt>
                <c:pt idx="32">
                  <c:v>450</c:v>
                </c:pt>
                <c:pt idx="33">
                  <c:v>450</c:v>
                </c:pt>
                <c:pt idx="34">
                  <c:v>450</c:v>
                </c:pt>
                <c:pt idx="35">
                  <c:v>450</c:v>
                </c:pt>
                <c:pt idx="36">
                  <c:v>450</c:v>
                </c:pt>
                <c:pt idx="37">
                  <c:v>486</c:v>
                </c:pt>
                <c:pt idx="38">
                  <c:v>522</c:v>
                </c:pt>
                <c:pt idx="39">
                  <c:v>522</c:v>
                </c:pt>
                <c:pt idx="40">
                  <c:v>522</c:v>
                </c:pt>
                <c:pt idx="41">
                  <c:v>522</c:v>
                </c:pt>
                <c:pt idx="42">
                  <c:v>522</c:v>
                </c:pt>
                <c:pt idx="43">
                  <c:v>522</c:v>
                </c:pt>
                <c:pt idx="44">
                  <c:v>557</c:v>
                </c:pt>
                <c:pt idx="45">
                  <c:v>592</c:v>
                </c:pt>
                <c:pt idx="46">
                  <c:v>647</c:v>
                </c:pt>
                <c:pt idx="47">
                  <c:v>723</c:v>
                </c:pt>
                <c:pt idx="48">
                  <c:v>763</c:v>
                </c:pt>
                <c:pt idx="49">
                  <c:v>803</c:v>
                </c:pt>
                <c:pt idx="50">
                  <c:v>868</c:v>
                </c:pt>
                <c:pt idx="51">
                  <c:v>888</c:v>
                </c:pt>
                <c:pt idx="52">
                  <c:v>888</c:v>
                </c:pt>
                <c:pt idx="53">
                  <c:v>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E-44E1-8C13-FC8A6D1A3C8C}"/>
            </c:ext>
          </c:extLst>
        </c:ser>
        <c:ser>
          <c:idx val="2"/>
          <c:order val="2"/>
          <c:tx>
            <c:strRef>
              <c:f>'graph-generation'!$A$15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'graph-generation'!$B$12:$BC$12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'graph-generation'!$B$15:$BC$15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393</c:v>
                </c:pt>
                <c:pt idx="12">
                  <c:v>985</c:v>
                </c:pt>
                <c:pt idx="13">
                  <c:v>1778</c:v>
                </c:pt>
                <c:pt idx="14">
                  <c:v>2481</c:v>
                </c:pt>
                <c:pt idx="15">
                  <c:v>3241</c:v>
                </c:pt>
                <c:pt idx="16">
                  <c:v>4072</c:v>
                </c:pt>
                <c:pt idx="17">
                  <c:v>4271</c:v>
                </c:pt>
                <c:pt idx="18">
                  <c:v>4296</c:v>
                </c:pt>
                <c:pt idx="19">
                  <c:v>4296</c:v>
                </c:pt>
                <c:pt idx="20">
                  <c:v>4296</c:v>
                </c:pt>
                <c:pt idx="21">
                  <c:v>4296</c:v>
                </c:pt>
                <c:pt idx="22">
                  <c:v>4296</c:v>
                </c:pt>
                <c:pt idx="23">
                  <c:v>4296</c:v>
                </c:pt>
                <c:pt idx="24">
                  <c:v>4296</c:v>
                </c:pt>
                <c:pt idx="25">
                  <c:v>4296</c:v>
                </c:pt>
                <c:pt idx="26">
                  <c:v>4296</c:v>
                </c:pt>
                <c:pt idx="27">
                  <c:v>4296</c:v>
                </c:pt>
                <c:pt idx="28">
                  <c:v>4296</c:v>
                </c:pt>
                <c:pt idx="29">
                  <c:v>4296</c:v>
                </c:pt>
                <c:pt idx="30">
                  <c:v>4296</c:v>
                </c:pt>
                <c:pt idx="31">
                  <c:v>4296</c:v>
                </c:pt>
                <c:pt idx="32">
                  <c:v>4296</c:v>
                </c:pt>
                <c:pt idx="33">
                  <c:v>4316</c:v>
                </c:pt>
                <c:pt idx="34">
                  <c:v>4316</c:v>
                </c:pt>
                <c:pt idx="35">
                  <c:v>4316</c:v>
                </c:pt>
                <c:pt idx="36">
                  <c:v>4316</c:v>
                </c:pt>
                <c:pt idx="37">
                  <c:v>4316</c:v>
                </c:pt>
                <c:pt idx="38">
                  <c:v>4316</c:v>
                </c:pt>
                <c:pt idx="39">
                  <c:v>4316</c:v>
                </c:pt>
                <c:pt idx="40">
                  <c:v>4316</c:v>
                </c:pt>
                <c:pt idx="41">
                  <c:v>4316</c:v>
                </c:pt>
                <c:pt idx="42">
                  <c:v>4316</c:v>
                </c:pt>
                <c:pt idx="43">
                  <c:v>4316</c:v>
                </c:pt>
                <c:pt idx="44">
                  <c:v>4359</c:v>
                </c:pt>
                <c:pt idx="45">
                  <c:v>4402</c:v>
                </c:pt>
                <c:pt idx="46">
                  <c:v>4402</c:v>
                </c:pt>
                <c:pt idx="47">
                  <c:v>4402</c:v>
                </c:pt>
                <c:pt idx="48">
                  <c:v>4402</c:v>
                </c:pt>
                <c:pt idx="49">
                  <c:v>4402</c:v>
                </c:pt>
                <c:pt idx="50">
                  <c:v>4402</c:v>
                </c:pt>
                <c:pt idx="51">
                  <c:v>4402</c:v>
                </c:pt>
                <c:pt idx="52">
                  <c:v>4402</c:v>
                </c:pt>
                <c:pt idx="53">
                  <c:v>4410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EE-44E1-8C13-FC8A6D1A3C8C}"/>
            </c:ext>
          </c:extLst>
        </c:ser>
        <c:ser>
          <c:idx val="3"/>
          <c:order val="3"/>
          <c:tx>
            <c:strRef>
              <c:f>'graph-generation'!$A$16</c:f>
              <c:strCache>
                <c:ptCount val="1"/>
                <c:pt idx="0">
                  <c:v>Oman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'graph-generation'!$B$12:$BC$12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'graph-generation'!$B$16:$BC$16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EE-44E1-8C13-FC8A6D1A3C8C}"/>
            </c:ext>
          </c:extLst>
        </c:ser>
        <c:ser>
          <c:idx val="4"/>
          <c:order val="4"/>
          <c:tx>
            <c:strRef>
              <c:f>'graph-generation'!$A$17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'graph-generation'!$B$12:$BC$12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'graph-generation'!$B$17:$BC$17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34</c:v>
                </c:pt>
                <c:pt idx="30">
                  <c:v>51</c:v>
                </c:pt>
                <c:pt idx="31">
                  <c:v>73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96</c:v>
                </c:pt>
                <c:pt idx="42">
                  <c:v>96</c:v>
                </c:pt>
                <c:pt idx="43">
                  <c:v>96</c:v>
                </c:pt>
                <c:pt idx="44">
                  <c:v>96</c:v>
                </c:pt>
                <c:pt idx="45">
                  <c:v>96</c:v>
                </c:pt>
                <c:pt idx="46">
                  <c:v>96</c:v>
                </c:pt>
                <c:pt idx="47">
                  <c:v>96</c:v>
                </c:pt>
                <c:pt idx="48">
                  <c:v>96</c:v>
                </c:pt>
                <c:pt idx="49">
                  <c:v>96</c:v>
                </c:pt>
                <c:pt idx="50">
                  <c:v>96</c:v>
                </c:pt>
                <c:pt idx="51">
                  <c:v>96</c:v>
                </c:pt>
                <c:pt idx="52">
                  <c:v>96</c:v>
                </c:pt>
                <c:pt idx="5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EE-44E1-8C13-FC8A6D1A3C8C}"/>
            </c:ext>
          </c:extLst>
        </c:ser>
        <c:ser>
          <c:idx val="5"/>
          <c:order val="5"/>
          <c:tx>
            <c:strRef>
              <c:f>'graph-generation'!$A$18</c:f>
              <c:strCache>
                <c:ptCount val="1"/>
                <c:pt idx="0">
                  <c:v>Qatar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'graph-generation'!$B$12:$BC$12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'graph-generation'!$B$18:$BC$18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29</c:v>
                </c:pt>
                <c:pt idx="47">
                  <c:v>117</c:v>
                </c:pt>
                <c:pt idx="48">
                  <c:v>117</c:v>
                </c:pt>
                <c:pt idx="49">
                  <c:v>117</c:v>
                </c:pt>
                <c:pt idx="50">
                  <c:v>117</c:v>
                </c:pt>
                <c:pt idx="51">
                  <c:v>117</c:v>
                </c:pt>
                <c:pt idx="52">
                  <c:v>117</c:v>
                </c:pt>
                <c:pt idx="5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EE-44E1-8C13-FC8A6D1A3C8C}"/>
            </c:ext>
          </c:extLst>
        </c:ser>
        <c:ser>
          <c:idx val="6"/>
          <c:order val="6"/>
          <c:tx>
            <c:strRef>
              <c:f>'graph-generation'!$A$19</c:f>
              <c:strCache>
                <c:ptCount val="1"/>
                <c:pt idx="0">
                  <c:v>UAE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'graph-generation'!$B$12:$BC$12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'graph-generation'!$B$19:$BC$19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29</c:v>
                </c:pt>
                <c:pt idx="43">
                  <c:v>44</c:v>
                </c:pt>
                <c:pt idx="44">
                  <c:v>59</c:v>
                </c:pt>
                <c:pt idx="45">
                  <c:v>74</c:v>
                </c:pt>
                <c:pt idx="46">
                  <c:v>111</c:v>
                </c:pt>
                <c:pt idx="47">
                  <c:v>157</c:v>
                </c:pt>
                <c:pt idx="48">
                  <c:v>169</c:v>
                </c:pt>
                <c:pt idx="49">
                  <c:v>182</c:v>
                </c:pt>
                <c:pt idx="50">
                  <c:v>182</c:v>
                </c:pt>
                <c:pt idx="51">
                  <c:v>182</c:v>
                </c:pt>
                <c:pt idx="52">
                  <c:v>182</c:v>
                </c:pt>
                <c:pt idx="5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EE-44E1-8C13-FC8A6D1A3C8C}"/>
            </c:ext>
          </c:extLst>
        </c:ser>
        <c:ser>
          <c:idx val="7"/>
          <c:order val="7"/>
          <c:tx>
            <c:strRef>
              <c:f>'graph-generation'!$A$20</c:f>
              <c:strCache>
                <c:ptCount val="1"/>
                <c:pt idx="0">
                  <c:v>Bahrain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'graph-generation'!$B$12:$BC$12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'graph-generation'!$B$20:$BC$20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EE-44E1-8C13-FC8A6D1A3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186047"/>
        <c:axId val="743186527"/>
      </c:areaChart>
      <c:catAx>
        <c:axId val="743186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86527"/>
        <c:crosses val="autoZero"/>
        <c:auto val="1"/>
        <c:lblAlgn val="ctr"/>
        <c:lblOffset val="100"/>
        <c:noMultiLvlLbl val="0"/>
      </c:catAx>
      <c:valAx>
        <c:axId val="7431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86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Chinese</a:t>
            </a:r>
            <a:r>
              <a:rPr lang="en-US" baseline="0"/>
              <a:t> and North Korean Arms Deliveries to the Gulf (SIPRI TIV)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'graph-generation'!$A$23</c:f>
              <c:strCache>
                <c:ptCount val="1"/>
                <c:pt idx="0">
                  <c:v>Iran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'graph-generation'!$B$22:$BC$22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'graph-generation'!$B$23:$BC$23</c:f>
              <c:numCache>
                <c:formatCode>General</c:formatCode>
                <c:ptCount val="54"/>
                <c:pt idx="10">
                  <c:v>1</c:v>
                </c:pt>
                <c:pt idx="11">
                  <c:v>193</c:v>
                </c:pt>
                <c:pt idx="12">
                  <c:v>219</c:v>
                </c:pt>
                <c:pt idx="13">
                  <c:v>180</c:v>
                </c:pt>
                <c:pt idx="14">
                  <c:v>126</c:v>
                </c:pt>
                <c:pt idx="15">
                  <c:v>516</c:v>
                </c:pt>
                <c:pt idx="16">
                  <c:v>524</c:v>
                </c:pt>
                <c:pt idx="17">
                  <c:v>184</c:v>
                </c:pt>
                <c:pt idx="18">
                  <c:v>60</c:v>
                </c:pt>
                <c:pt idx="19">
                  <c:v>87</c:v>
                </c:pt>
                <c:pt idx="20">
                  <c:v>96</c:v>
                </c:pt>
                <c:pt idx="21">
                  <c:v>103</c:v>
                </c:pt>
                <c:pt idx="22">
                  <c:v>304</c:v>
                </c:pt>
                <c:pt idx="23">
                  <c:v>272</c:v>
                </c:pt>
                <c:pt idx="24">
                  <c:v>51</c:v>
                </c:pt>
                <c:pt idx="25">
                  <c:v>313</c:v>
                </c:pt>
                <c:pt idx="26">
                  <c:v>48</c:v>
                </c:pt>
                <c:pt idx="27">
                  <c:v>64</c:v>
                </c:pt>
                <c:pt idx="28">
                  <c:v>64</c:v>
                </c:pt>
                <c:pt idx="29">
                  <c:v>64</c:v>
                </c:pt>
                <c:pt idx="30">
                  <c:v>75</c:v>
                </c:pt>
                <c:pt idx="31">
                  <c:v>76</c:v>
                </c:pt>
                <c:pt idx="32">
                  <c:v>79</c:v>
                </c:pt>
                <c:pt idx="33">
                  <c:v>75</c:v>
                </c:pt>
                <c:pt idx="34">
                  <c:v>38</c:v>
                </c:pt>
                <c:pt idx="35">
                  <c:v>49</c:v>
                </c:pt>
                <c:pt idx="36">
                  <c:v>41</c:v>
                </c:pt>
                <c:pt idx="37">
                  <c:v>42</c:v>
                </c:pt>
                <c:pt idx="38">
                  <c:v>42</c:v>
                </c:pt>
                <c:pt idx="39">
                  <c:v>52</c:v>
                </c:pt>
                <c:pt idx="40">
                  <c:v>45</c:v>
                </c:pt>
                <c:pt idx="41">
                  <c:v>28</c:v>
                </c:pt>
                <c:pt idx="42">
                  <c:v>10</c:v>
                </c:pt>
                <c:pt idx="43">
                  <c:v>10</c:v>
                </c:pt>
                <c:pt idx="4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8-4B0D-8907-B4F2F57EA064}"/>
            </c:ext>
          </c:extLst>
        </c:ser>
        <c:ser>
          <c:idx val="1"/>
          <c:order val="1"/>
          <c:tx>
            <c:strRef>
              <c:f>'graph-generation'!$A$24</c:f>
              <c:strCache>
                <c:ptCount val="1"/>
                <c:pt idx="0">
                  <c:v>Iran (North Korea)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2"/>
              </a:solidFill>
            </a:ln>
            <a:effectLst/>
          </c:spPr>
          <c:cat>
            <c:numRef>
              <c:f>'graph-generation'!$B$22:$BC$22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'graph-generation'!$B$24:$BC$24</c:f>
              <c:numCache>
                <c:formatCode>General</c:formatCode>
                <c:ptCount val="54"/>
                <c:pt idx="11">
                  <c:v>97</c:v>
                </c:pt>
                <c:pt idx="12">
                  <c:v>201</c:v>
                </c:pt>
                <c:pt idx="13">
                  <c:v>161</c:v>
                </c:pt>
                <c:pt idx="14">
                  <c:v>133</c:v>
                </c:pt>
                <c:pt idx="15">
                  <c:v>51</c:v>
                </c:pt>
                <c:pt idx="16">
                  <c:v>178</c:v>
                </c:pt>
                <c:pt idx="17">
                  <c:v>179</c:v>
                </c:pt>
                <c:pt idx="18">
                  <c:v>16</c:v>
                </c:pt>
                <c:pt idx="19">
                  <c:v>6</c:v>
                </c:pt>
                <c:pt idx="20">
                  <c:v>69</c:v>
                </c:pt>
                <c:pt idx="21">
                  <c:v>81</c:v>
                </c:pt>
                <c:pt idx="22">
                  <c:v>87</c:v>
                </c:pt>
                <c:pt idx="23">
                  <c:v>8</c:v>
                </c:pt>
                <c:pt idx="24">
                  <c:v>8</c:v>
                </c:pt>
                <c:pt idx="25">
                  <c:v>6</c:v>
                </c:pt>
                <c:pt idx="26">
                  <c:v>6</c:v>
                </c:pt>
                <c:pt idx="27">
                  <c:v>3</c:v>
                </c:pt>
                <c:pt idx="31">
                  <c:v>116</c:v>
                </c:pt>
                <c:pt idx="32">
                  <c:v>114</c:v>
                </c:pt>
                <c:pt idx="3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8-4B0D-8907-B4F2F57EA064}"/>
            </c:ext>
          </c:extLst>
        </c:ser>
        <c:ser>
          <c:idx val="2"/>
          <c:order val="2"/>
          <c:tx>
            <c:strRef>
              <c:f>'graph-generation'!$A$25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'graph-generation'!$B$22:$BC$22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'graph-generation'!$B$25:$BC$25</c:f>
              <c:numCache>
                <c:formatCode>General</c:formatCode>
                <c:ptCount val="54"/>
                <c:pt idx="16">
                  <c:v>225</c:v>
                </c:pt>
                <c:pt idx="17">
                  <c:v>225</c:v>
                </c:pt>
                <c:pt idx="37">
                  <c:v>36</c:v>
                </c:pt>
                <c:pt idx="38">
                  <c:v>36</c:v>
                </c:pt>
                <c:pt idx="44">
                  <c:v>35</c:v>
                </c:pt>
                <c:pt idx="45">
                  <c:v>35</c:v>
                </c:pt>
                <c:pt idx="46">
                  <c:v>55</c:v>
                </c:pt>
                <c:pt idx="47">
                  <c:v>76</c:v>
                </c:pt>
                <c:pt idx="48">
                  <c:v>40</c:v>
                </c:pt>
                <c:pt idx="49">
                  <c:v>40</c:v>
                </c:pt>
                <c:pt idx="50">
                  <c:v>65</c:v>
                </c:pt>
                <c:pt idx="5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C8-4B0D-8907-B4F2F57EA064}"/>
            </c:ext>
          </c:extLst>
        </c:ser>
        <c:ser>
          <c:idx val="3"/>
          <c:order val="3"/>
          <c:tx>
            <c:strRef>
              <c:f>'graph-generation'!$A$26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'graph-generation'!$B$22:$BC$22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'graph-generation'!$B$26:$BC$26</c:f>
              <c:numCache>
                <c:formatCode>General</c:formatCode>
                <c:ptCount val="54"/>
                <c:pt idx="11">
                  <c:v>393</c:v>
                </c:pt>
                <c:pt idx="12">
                  <c:v>592</c:v>
                </c:pt>
                <c:pt idx="13">
                  <c:v>793</c:v>
                </c:pt>
                <c:pt idx="14">
                  <c:v>703</c:v>
                </c:pt>
                <c:pt idx="15">
                  <c:v>760</c:v>
                </c:pt>
                <c:pt idx="16">
                  <c:v>831</c:v>
                </c:pt>
                <c:pt idx="17">
                  <c:v>199</c:v>
                </c:pt>
                <c:pt idx="18">
                  <c:v>25</c:v>
                </c:pt>
                <c:pt idx="33">
                  <c:v>20</c:v>
                </c:pt>
                <c:pt idx="44">
                  <c:v>43</c:v>
                </c:pt>
                <c:pt idx="45">
                  <c:v>43</c:v>
                </c:pt>
                <c:pt idx="5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C8-4B0D-8907-B4F2F57EA064}"/>
            </c:ext>
          </c:extLst>
        </c:ser>
        <c:ser>
          <c:idx val="4"/>
          <c:order val="4"/>
          <c:tx>
            <c:strRef>
              <c:f>'graph-generation'!$A$27</c:f>
              <c:strCache>
                <c:ptCount val="1"/>
                <c:pt idx="0">
                  <c:v>Oman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'graph-generation'!$B$22:$BC$22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'graph-generation'!$B$27:$BC$27</c:f>
              <c:numCache>
                <c:formatCode>General</c:formatCode>
                <c:ptCount val="54"/>
                <c:pt idx="31">
                  <c:v>4</c:v>
                </c:pt>
                <c:pt idx="3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C8-4B0D-8907-B4F2F57EA064}"/>
            </c:ext>
          </c:extLst>
        </c:ser>
        <c:ser>
          <c:idx val="5"/>
          <c:order val="5"/>
          <c:tx>
            <c:strRef>
              <c:f>'graph-generation'!$A$28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'graph-generation'!$B$22:$BC$22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'graph-generation'!$B$28:$BC$28</c:f>
              <c:numCache>
                <c:formatCode>General</c:formatCode>
                <c:ptCount val="54"/>
                <c:pt idx="29">
                  <c:v>34</c:v>
                </c:pt>
                <c:pt idx="30">
                  <c:v>17</c:v>
                </c:pt>
                <c:pt idx="31">
                  <c:v>22</c:v>
                </c:pt>
                <c:pt idx="3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C8-4B0D-8907-B4F2F57EA064}"/>
            </c:ext>
          </c:extLst>
        </c:ser>
        <c:ser>
          <c:idx val="6"/>
          <c:order val="6"/>
          <c:tx>
            <c:strRef>
              <c:f>'graph-generation'!$A$29</c:f>
              <c:strCache>
                <c:ptCount val="1"/>
                <c:pt idx="0">
                  <c:v>Qatar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'graph-generation'!$B$22:$BC$22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'graph-generation'!$B$29:$BC$29</c:f>
              <c:numCache>
                <c:formatCode>General</c:formatCode>
                <c:ptCount val="54"/>
                <c:pt idx="46">
                  <c:v>29</c:v>
                </c:pt>
                <c:pt idx="47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C8-4B0D-8907-B4F2F57EA064}"/>
            </c:ext>
          </c:extLst>
        </c:ser>
        <c:ser>
          <c:idx val="7"/>
          <c:order val="7"/>
          <c:tx>
            <c:strRef>
              <c:f>'graph-generation'!$A$30</c:f>
              <c:strCache>
                <c:ptCount val="1"/>
                <c:pt idx="0">
                  <c:v>UAE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cat>
            <c:numRef>
              <c:f>'graph-generation'!$B$22:$BC$22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'graph-generation'!$B$30:$BC$30</c:f>
              <c:numCache>
                <c:formatCode>General</c:formatCode>
                <c:ptCount val="54"/>
                <c:pt idx="22">
                  <c:v>7</c:v>
                </c:pt>
                <c:pt idx="23">
                  <c:v>7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37</c:v>
                </c:pt>
                <c:pt idx="47">
                  <c:v>46</c:v>
                </c:pt>
                <c:pt idx="48">
                  <c:v>12</c:v>
                </c:pt>
                <c:pt idx="4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C8-4B0D-8907-B4F2F57EA064}"/>
            </c:ext>
          </c:extLst>
        </c:ser>
        <c:ser>
          <c:idx val="8"/>
          <c:order val="8"/>
          <c:tx>
            <c:strRef>
              <c:f>'graph-generation'!$A$31</c:f>
              <c:strCache>
                <c:ptCount val="1"/>
                <c:pt idx="0">
                  <c:v>Bahrain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'graph-generation'!$B$22:$BC$22</c:f>
              <c:numCache>
                <c:formatCode>General</c:formatCode>
                <c:ptCount val="54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</c:numCache>
            </c:numRef>
          </c:cat>
          <c:val>
            <c:numRef>
              <c:f>'graph-generation'!$B$31:$BC$31</c:f>
              <c:numCache>
                <c:formatCode>General</c:formatCode>
                <c:ptCount val="54"/>
                <c:pt idx="4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C8-4B0D-8907-B4F2F57EA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609440"/>
        <c:axId val="376609920"/>
      </c:areaChart>
      <c:catAx>
        <c:axId val="37660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09920"/>
        <c:crosses val="autoZero"/>
        <c:auto val="1"/>
        <c:lblAlgn val="ctr"/>
        <c:lblOffset val="100"/>
        <c:noMultiLvlLbl val="0"/>
      </c:catAx>
      <c:valAx>
        <c:axId val="376609920"/>
        <c:scaling>
          <c:orientation val="minMax"/>
          <c:max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0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267639</xdr:colOff>
      <xdr:row>28</xdr:row>
      <xdr:rowOff>134470</xdr:rowOff>
    </xdr:from>
    <xdr:to>
      <xdr:col>23</xdr:col>
      <xdr:colOff>208429</xdr:colOff>
      <xdr:row>50</xdr:row>
      <xdr:rowOff>143995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C0A8D8-DDE5-EE6F-C3ED-1591F4771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400211</xdr:colOff>
      <xdr:row>29</xdr:row>
      <xdr:rowOff>33617</xdr:rowOff>
    </xdr:from>
    <xdr:to>
      <xdr:col>36</xdr:col>
      <xdr:colOff>78443</xdr:colOff>
      <xdr:row>51</xdr:row>
      <xdr:rowOff>47224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73C7D0-7466-AE27-F069-BDBDF7B26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481853</xdr:colOff>
      <xdr:row>29</xdr:row>
      <xdr:rowOff>33618</xdr:rowOff>
    </xdr:from>
    <xdr:to>
      <xdr:col>12</xdr:col>
      <xdr:colOff>56030</xdr:colOff>
      <xdr:row>50</xdr:row>
      <xdr:rowOff>110939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1F081-CFC6-5C13-CF8E-B5E35E08B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BD52-7897-4C09-B41F-61E4A6657271}">
  <dimension ref="A1:BH114"/>
  <sheetViews>
    <sheetView workbookViewId="0">
      <selection activeCell="A12" sqref="A12:XFD12"/>
    </sheetView>
  </sheetViews>
  <sheetFormatPr defaultRowHeight="15" x14ac:dyDescent="0.25"/>
  <cols>
    <col min="1" max="1" width="27.5703125" customWidth="1"/>
  </cols>
  <sheetData>
    <row r="1" spans="1:60" x14ac:dyDescent="0.25">
      <c r="A1" t="s">
        <v>0</v>
      </c>
    </row>
    <row r="2" spans="1:60" x14ac:dyDescent="0.25">
      <c r="A2" t="s">
        <v>1</v>
      </c>
    </row>
    <row r="3" spans="1:60" x14ac:dyDescent="0.25">
      <c r="A3" t="s">
        <v>2</v>
      </c>
    </row>
    <row r="4" spans="1:60" x14ac:dyDescent="0.25">
      <c r="A4" t="s">
        <v>3</v>
      </c>
    </row>
    <row r="5" spans="1:60" x14ac:dyDescent="0.25">
      <c r="A5" t="s">
        <v>4</v>
      </c>
    </row>
    <row r="7" spans="1:60" x14ac:dyDescent="0.25">
      <c r="A7" t="s">
        <v>5</v>
      </c>
    </row>
    <row r="8" spans="1:60" x14ac:dyDescent="0.25">
      <c r="A8" t="s">
        <v>6</v>
      </c>
    </row>
    <row r="10" spans="1:60" x14ac:dyDescent="0.25">
      <c r="A10" t="s">
        <v>7</v>
      </c>
      <c r="B10">
        <v>1971</v>
      </c>
      <c r="C10">
        <v>1972</v>
      </c>
      <c r="D10">
        <v>1973</v>
      </c>
      <c r="E10">
        <v>1974</v>
      </c>
      <c r="F10">
        <v>1975</v>
      </c>
      <c r="G10">
        <v>1976</v>
      </c>
      <c r="H10">
        <v>1977</v>
      </c>
      <c r="I10">
        <v>1978</v>
      </c>
      <c r="J10">
        <v>1979</v>
      </c>
      <c r="K10">
        <v>1980</v>
      </c>
      <c r="L10">
        <v>1981</v>
      </c>
      <c r="M10">
        <v>1982</v>
      </c>
      <c r="N10">
        <v>1983</v>
      </c>
      <c r="O10">
        <v>1984</v>
      </c>
      <c r="P10">
        <v>1985</v>
      </c>
      <c r="Q10">
        <v>1986</v>
      </c>
      <c r="R10">
        <v>1987</v>
      </c>
      <c r="S10">
        <v>1988</v>
      </c>
      <c r="T10">
        <v>1989</v>
      </c>
      <c r="U10">
        <v>1990</v>
      </c>
      <c r="V10">
        <v>1991</v>
      </c>
      <c r="W10">
        <v>1992</v>
      </c>
      <c r="X10">
        <v>1993</v>
      </c>
      <c r="Y10">
        <v>1994</v>
      </c>
      <c r="Z10">
        <v>1995</v>
      </c>
      <c r="AA10">
        <v>1996</v>
      </c>
      <c r="AB10">
        <v>1997</v>
      </c>
      <c r="AC10">
        <v>1998</v>
      </c>
      <c r="AD10">
        <v>1999</v>
      </c>
      <c r="AE10">
        <v>2000</v>
      </c>
      <c r="AF10">
        <v>2001</v>
      </c>
      <c r="AG10">
        <v>2002</v>
      </c>
      <c r="AH10">
        <v>2003</v>
      </c>
      <c r="AI10">
        <v>2004</v>
      </c>
      <c r="AJ10">
        <v>2005</v>
      </c>
      <c r="AK10">
        <v>2006</v>
      </c>
      <c r="AL10">
        <v>2007</v>
      </c>
      <c r="AM10">
        <v>2008</v>
      </c>
      <c r="AN10">
        <v>2009</v>
      </c>
      <c r="AO10">
        <v>2010</v>
      </c>
      <c r="AP10">
        <v>2011</v>
      </c>
      <c r="AQ10">
        <v>2012</v>
      </c>
      <c r="AR10">
        <v>2013</v>
      </c>
      <c r="AS10">
        <v>2014</v>
      </c>
      <c r="AT10">
        <v>2015</v>
      </c>
      <c r="AU10">
        <v>2016</v>
      </c>
      <c r="AV10">
        <v>2017</v>
      </c>
      <c r="AW10">
        <v>2018</v>
      </c>
      <c r="AX10">
        <v>2019</v>
      </c>
      <c r="AY10">
        <v>2020</v>
      </c>
      <c r="AZ10">
        <v>2021</v>
      </c>
      <c r="BA10">
        <v>2022</v>
      </c>
      <c r="BB10">
        <v>2023</v>
      </c>
      <c r="BC10">
        <v>2024</v>
      </c>
      <c r="BD10">
        <v>2025</v>
      </c>
      <c r="BE10" t="s">
        <v>8</v>
      </c>
      <c r="BF10" t="s">
        <v>9</v>
      </c>
      <c r="BG10" t="s">
        <v>10</v>
      </c>
      <c r="BH10" t="s">
        <v>11</v>
      </c>
    </row>
    <row r="11" spans="1:60" x14ac:dyDescent="0.25">
      <c r="A11" t="s">
        <v>12</v>
      </c>
      <c r="L11">
        <v>1</v>
      </c>
      <c r="M11">
        <v>193</v>
      </c>
      <c r="N11">
        <v>219</v>
      </c>
      <c r="O11">
        <v>180</v>
      </c>
      <c r="P11">
        <v>126</v>
      </c>
      <c r="Q11">
        <v>516</v>
      </c>
      <c r="R11">
        <v>524</v>
      </c>
      <c r="S11">
        <v>184</v>
      </c>
      <c r="T11">
        <v>60</v>
      </c>
      <c r="U11">
        <v>87</v>
      </c>
      <c r="V11">
        <v>96</v>
      </c>
      <c r="W11">
        <v>103</v>
      </c>
      <c r="X11">
        <v>304</v>
      </c>
      <c r="Y11">
        <v>272</v>
      </c>
      <c r="Z11">
        <v>51</v>
      </c>
      <c r="AA11">
        <v>313</v>
      </c>
      <c r="AB11">
        <v>48</v>
      </c>
      <c r="AC11">
        <v>64</v>
      </c>
      <c r="AD11">
        <v>64</v>
      </c>
      <c r="AE11">
        <v>64</v>
      </c>
      <c r="AF11">
        <v>75</v>
      </c>
      <c r="AG11">
        <v>76</v>
      </c>
      <c r="AH11">
        <v>79</v>
      </c>
      <c r="AI11">
        <v>75</v>
      </c>
      <c r="AJ11">
        <v>38</v>
      </c>
      <c r="AK11">
        <v>49</v>
      </c>
      <c r="AL11">
        <v>41</v>
      </c>
      <c r="AM11">
        <v>42</v>
      </c>
      <c r="AN11">
        <v>42</v>
      </c>
      <c r="AO11">
        <v>52</v>
      </c>
      <c r="AP11">
        <v>45</v>
      </c>
      <c r="AQ11">
        <v>28</v>
      </c>
      <c r="AR11">
        <v>10</v>
      </c>
      <c r="AS11">
        <v>10</v>
      </c>
      <c r="AT11">
        <v>7</v>
      </c>
      <c r="BE11">
        <v>4137</v>
      </c>
      <c r="BF11" s="1">
        <v>0.1</v>
      </c>
      <c r="BG11">
        <v>4137</v>
      </c>
      <c r="BH11" s="1">
        <v>0.1</v>
      </c>
    </row>
    <row r="12" spans="1:60" x14ac:dyDescent="0.25">
      <c r="A12" t="s">
        <v>30</v>
      </c>
      <c r="M12">
        <v>97</v>
      </c>
      <c r="N12">
        <v>201</v>
      </c>
      <c r="O12">
        <v>161</v>
      </c>
      <c r="P12">
        <v>133</v>
      </c>
      <c r="Q12">
        <v>51</v>
      </c>
      <c r="R12">
        <v>178</v>
      </c>
      <c r="S12">
        <v>179</v>
      </c>
      <c r="T12">
        <v>16</v>
      </c>
      <c r="U12">
        <v>6</v>
      </c>
      <c r="V12">
        <v>69</v>
      </c>
      <c r="W12">
        <v>81</v>
      </c>
      <c r="X12">
        <v>87</v>
      </c>
      <c r="Y12">
        <v>8</v>
      </c>
      <c r="Z12">
        <v>8</v>
      </c>
      <c r="AA12">
        <v>6</v>
      </c>
      <c r="AB12">
        <v>6</v>
      </c>
      <c r="AC12">
        <v>3</v>
      </c>
      <c r="AG12">
        <v>116</v>
      </c>
      <c r="AH12">
        <v>114</v>
      </c>
      <c r="AI12">
        <v>27</v>
      </c>
      <c r="BE12">
        <v>1545</v>
      </c>
      <c r="BF12" s="1">
        <v>3.6999999999999998E-2</v>
      </c>
      <c r="BG12">
        <v>1545</v>
      </c>
      <c r="BH12" s="1">
        <v>3.6999999999999998E-2</v>
      </c>
    </row>
    <row r="13" spans="1:60" x14ac:dyDescent="0.25">
      <c r="A13" t="s">
        <v>13</v>
      </c>
      <c r="B13">
        <v>1783</v>
      </c>
      <c r="C13">
        <v>1380</v>
      </c>
      <c r="D13">
        <v>2055</v>
      </c>
      <c r="E13">
        <v>2855</v>
      </c>
      <c r="F13">
        <v>5210</v>
      </c>
      <c r="G13">
        <v>4634</v>
      </c>
      <c r="H13">
        <v>5692</v>
      </c>
      <c r="I13">
        <v>3721</v>
      </c>
      <c r="J13">
        <v>522</v>
      </c>
      <c r="K13">
        <v>278</v>
      </c>
      <c r="L13">
        <v>487</v>
      </c>
      <c r="M13">
        <v>498</v>
      </c>
      <c r="N13">
        <v>467</v>
      </c>
      <c r="O13">
        <v>558</v>
      </c>
      <c r="P13">
        <v>639</v>
      </c>
      <c r="Q13">
        <v>805</v>
      </c>
      <c r="R13">
        <v>807</v>
      </c>
      <c r="S13">
        <v>468</v>
      </c>
      <c r="T13">
        <v>194</v>
      </c>
      <c r="U13">
        <v>448</v>
      </c>
      <c r="V13">
        <v>992</v>
      </c>
      <c r="W13">
        <v>404</v>
      </c>
      <c r="X13">
        <v>957</v>
      </c>
      <c r="Y13">
        <v>451</v>
      </c>
      <c r="Z13">
        <v>289</v>
      </c>
      <c r="AA13">
        <v>608</v>
      </c>
      <c r="AB13">
        <v>172</v>
      </c>
      <c r="AC13">
        <v>374</v>
      </c>
      <c r="AD13">
        <v>321</v>
      </c>
      <c r="AE13">
        <v>417</v>
      </c>
      <c r="AF13">
        <v>528</v>
      </c>
      <c r="AG13">
        <v>435</v>
      </c>
      <c r="AH13">
        <v>283</v>
      </c>
      <c r="AI13">
        <v>117</v>
      </c>
      <c r="AJ13">
        <v>53</v>
      </c>
      <c r="AK13">
        <v>418</v>
      </c>
      <c r="AL13">
        <v>325</v>
      </c>
      <c r="AM13">
        <v>57</v>
      </c>
      <c r="AN13">
        <v>92</v>
      </c>
      <c r="AO13">
        <v>87</v>
      </c>
      <c r="AP13">
        <v>89</v>
      </c>
      <c r="AQ13">
        <v>39</v>
      </c>
      <c r="AR13">
        <v>14</v>
      </c>
      <c r="AS13">
        <v>14</v>
      </c>
      <c r="AT13">
        <v>11</v>
      </c>
      <c r="AU13">
        <v>413</v>
      </c>
      <c r="AV13">
        <v>3</v>
      </c>
      <c r="AW13">
        <v>3</v>
      </c>
      <c r="AX13">
        <v>3</v>
      </c>
      <c r="AY13">
        <v>2</v>
      </c>
      <c r="BB13">
        <v>21</v>
      </c>
      <c r="BC13">
        <v>42</v>
      </c>
      <c r="BE13">
        <v>41533</v>
      </c>
      <c r="BF13" s="2">
        <v>1</v>
      </c>
      <c r="BG13">
        <v>41533</v>
      </c>
    </row>
    <row r="15" spans="1:60" x14ac:dyDescent="0.25">
      <c r="A15" t="s">
        <v>1</v>
      </c>
    </row>
    <row r="16" spans="1:60" x14ac:dyDescent="0.25">
      <c r="A16" t="s">
        <v>2</v>
      </c>
    </row>
    <row r="17" spans="1:60" x14ac:dyDescent="0.25">
      <c r="A17" t="s">
        <v>3</v>
      </c>
    </row>
    <row r="18" spans="1:60" x14ac:dyDescent="0.25">
      <c r="A18" t="s">
        <v>4</v>
      </c>
    </row>
    <row r="20" spans="1:60" x14ac:dyDescent="0.25">
      <c r="A20" t="s">
        <v>5</v>
      </c>
    </row>
    <row r="21" spans="1:60" x14ac:dyDescent="0.25">
      <c r="A21" t="s">
        <v>6</v>
      </c>
      <c r="B21">
        <v>1971</v>
      </c>
      <c r="C21">
        <v>1972</v>
      </c>
      <c r="D21">
        <v>1973</v>
      </c>
      <c r="E21">
        <v>1974</v>
      </c>
      <c r="F21">
        <v>1975</v>
      </c>
      <c r="G21">
        <v>1976</v>
      </c>
      <c r="H21">
        <v>1977</v>
      </c>
      <c r="I21">
        <v>1978</v>
      </c>
      <c r="J21">
        <v>1979</v>
      </c>
      <c r="K21">
        <v>1980</v>
      </c>
      <c r="L21">
        <v>1981</v>
      </c>
      <c r="M21">
        <v>1982</v>
      </c>
      <c r="N21">
        <v>1983</v>
      </c>
      <c r="O21">
        <v>1984</v>
      </c>
      <c r="P21">
        <v>1985</v>
      </c>
      <c r="Q21">
        <v>1986</v>
      </c>
      <c r="R21">
        <v>1987</v>
      </c>
      <c r="S21">
        <v>1988</v>
      </c>
      <c r="T21">
        <v>1989</v>
      </c>
      <c r="U21">
        <v>1990</v>
      </c>
      <c r="V21">
        <v>1991</v>
      </c>
      <c r="W21">
        <v>1992</v>
      </c>
      <c r="X21">
        <v>1993</v>
      </c>
      <c r="Y21">
        <v>1994</v>
      </c>
      <c r="Z21">
        <v>1995</v>
      </c>
      <c r="AA21">
        <v>1996</v>
      </c>
      <c r="AB21">
        <v>1997</v>
      </c>
      <c r="AC21">
        <v>1998</v>
      </c>
      <c r="AD21">
        <v>1999</v>
      </c>
      <c r="AE21">
        <v>2000</v>
      </c>
      <c r="AF21">
        <v>2001</v>
      </c>
      <c r="AG21">
        <v>2002</v>
      </c>
      <c r="AH21">
        <v>2003</v>
      </c>
      <c r="AI21">
        <v>2004</v>
      </c>
      <c r="AJ21">
        <v>2005</v>
      </c>
      <c r="AK21">
        <v>2006</v>
      </c>
      <c r="AL21">
        <v>2007</v>
      </c>
      <c r="AM21">
        <v>2008</v>
      </c>
      <c r="AN21">
        <v>2009</v>
      </c>
      <c r="AO21">
        <v>2010</v>
      </c>
      <c r="AP21">
        <v>2011</v>
      </c>
      <c r="AQ21">
        <v>2012</v>
      </c>
      <c r="AR21">
        <v>2013</v>
      </c>
      <c r="AS21">
        <v>2014</v>
      </c>
      <c r="AT21">
        <v>2015</v>
      </c>
      <c r="AU21">
        <v>2016</v>
      </c>
      <c r="AV21">
        <v>2017</v>
      </c>
      <c r="AW21">
        <v>2018</v>
      </c>
      <c r="AX21">
        <v>2019</v>
      </c>
      <c r="AY21">
        <v>2020</v>
      </c>
      <c r="AZ21">
        <v>2021</v>
      </c>
      <c r="BA21">
        <v>2022</v>
      </c>
      <c r="BB21">
        <v>2023</v>
      </c>
      <c r="BC21">
        <v>2024</v>
      </c>
      <c r="BD21">
        <v>2025</v>
      </c>
      <c r="BE21" t="s">
        <v>8</v>
      </c>
      <c r="BF21" t="s">
        <v>9</v>
      </c>
      <c r="BG21" t="s">
        <v>10</v>
      </c>
      <c r="BH21" t="s">
        <v>11</v>
      </c>
    </row>
    <row r="22" spans="1:60" x14ac:dyDescent="0.25">
      <c r="R22">
        <v>225</v>
      </c>
      <c r="S22">
        <v>225</v>
      </c>
      <c r="AM22">
        <v>36</v>
      </c>
      <c r="AN22">
        <v>36</v>
      </c>
      <c r="AT22">
        <v>35</v>
      </c>
      <c r="AU22">
        <v>35</v>
      </c>
      <c r="AV22">
        <v>55</v>
      </c>
      <c r="AW22">
        <v>76</v>
      </c>
      <c r="AX22">
        <v>40</v>
      </c>
      <c r="AY22">
        <v>40</v>
      </c>
      <c r="AZ22">
        <v>65</v>
      </c>
      <c r="BA22">
        <v>20</v>
      </c>
      <c r="BE22">
        <v>888</v>
      </c>
      <c r="BF22" s="1">
        <v>1.2E-2</v>
      </c>
      <c r="BG22">
        <v>888</v>
      </c>
      <c r="BH22" s="1">
        <v>1.2E-2</v>
      </c>
    </row>
    <row r="23" spans="1:60" x14ac:dyDescent="0.25">
      <c r="A23" t="s">
        <v>7</v>
      </c>
      <c r="B23">
        <v>10</v>
      </c>
      <c r="C23">
        <v>120</v>
      </c>
      <c r="D23">
        <v>192</v>
      </c>
      <c r="E23">
        <v>536</v>
      </c>
      <c r="F23">
        <v>392</v>
      </c>
      <c r="G23">
        <v>702</v>
      </c>
      <c r="H23">
        <v>1028</v>
      </c>
      <c r="I23">
        <v>1023</v>
      </c>
      <c r="J23">
        <v>767</v>
      </c>
      <c r="K23">
        <v>1085</v>
      </c>
      <c r="L23">
        <v>1816</v>
      </c>
      <c r="M23">
        <v>2223</v>
      </c>
      <c r="N23">
        <v>1819</v>
      </c>
      <c r="O23">
        <v>824</v>
      </c>
      <c r="P23">
        <v>1314</v>
      </c>
      <c r="Q23">
        <v>2842</v>
      </c>
      <c r="R23">
        <v>2010</v>
      </c>
      <c r="S23">
        <v>784</v>
      </c>
      <c r="T23">
        <v>1382</v>
      </c>
      <c r="U23">
        <v>2039</v>
      </c>
      <c r="V23">
        <v>1038</v>
      </c>
      <c r="W23">
        <v>1149</v>
      </c>
      <c r="X23">
        <v>2354</v>
      </c>
      <c r="Y23">
        <v>981</v>
      </c>
      <c r="Z23">
        <v>984</v>
      </c>
      <c r="AA23">
        <v>1727</v>
      </c>
      <c r="AB23">
        <v>2791</v>
      </c>
      <c r="AC23">
        <v>2886</v>
      </c>
      <c r="AD23">
        <v>1580</v>
      </c>
      <c r="AE23">
        <v>105</v>
      </c>
      <c r="AF23">
        <v>60</v>
      </c>
      <c r="AG23">
        <v>560</v>
      </c>
      <c r="AH23">
        <v>160</v>
      </c>
      <c r="AI23">
        <v>1159</v>
      </c>
      <c r="AJ23">
        <v>166</v>
      </c>
      <c r="AK23">
        <v>206</v>
      </c>
      <c r="AL23">
        <v>227</v>
      </c>
      <c r="AM23">
        <v>387</v>
      </c>
      <c r="AN23">
        <v>827</v>
      </c>
      <c r="AO23">
        <v>1108</v>
      </c>
      <c r="AP23">
        <v>1172</v>
      </c>
      <c r="AQ23">
        <v>810</v>
      </c>
      <c r="AR23">
        <v>1631</v>
      </c>
      <c r="AS23">
        <v>2711</v>
      </c>
      <c r="AT23">
        <v>3384</v>
      </c>
      <c r="AU23">
        <v>2974</v>
      </c>
      <c r="AV23">
        <v>3968</v>
      </c>
      <c r="AW23">
        <v>3004</v>
      </c>
      <c r="AX23">
        <v>3070</v>
      </c>
      <c r="AY23">
        <v>2530</v>
      </c>
      <c r="AZ23">
        <v>1690</v>
      </c>
      <c r="BA23">
        <v>3058</v>
      </c>
      <c r="BB23">
        <v>1296</v>
      </c>
      <c r="BC23">
        <v>1111</v>
      </c>
      <c r="BE23">
        <v>75767</v>
      </c>
      <c r="BF23" s="2">
        <v>1</v>
      </c>
      <c r="BG23">
        <v>75767</v>
      </c>
    </row>
    <row r="24" spans="1:60" x14ac:dyDescent="0.25">
      <c r="A24" t="s">
        <v>12</v>
      </c>
    </row>
    <row r="25" spans="1:60" x14ac:dyDescent="0.25">
      <c r="A25" t="s">
        <v>14</v>
      </c>
    </row>
    <row r="27" spans="1:60" x14ac:dyDescent="0.25">
      <c r="A27" t="s">
        <v>0</v>
      </c>
    </row>
    <row r="28" spans="1:60" x14ac:dyDescent="0.25">
      <c r="A28" t="s">
        <v>1</v>
      </c>
    </row>
    <row r="29" spans="1:60" x14ac:dyDescent="0.25">
      <c r="A29" t="s">
        <v>2</v>
      </c>
    </row>
    <row r="30" spans="1:60" x14ac:dyDescent="0.25">
      <c r="A30" t="s">
        <v>3</v>
      </c>
    </row>
    <row r="31" spans="1:60" x14ac:dyDescent="0.25">
      <c r="A31" t="s">
        <v>4</v>
      </c>
    </row>
    <row r="33" spans="1:60" x14ac:dyDescent="0.25">
      <c r="A33" t="s">
        <v>5</v>
      </c>
    </row>
    <row r="34" spans="1:60" x14ac:dyDescent="0.25">
      <c r="A34" t="s">
        <v>6</v>
      </c>
      <c r="B34">
        <v>1971</v>
      </c>
      <c r="C34">
        <v>1972</v>
      </c>
      <c r="D34">
        <v>1973</v>
      </c>
      <c r="E34">
        <v>1974</v>
      </c>
      <c r="F34">
        <v>1975</v>
      </c>
      <c r="G34">
        <v>1976</v>
      </c>
      <c r="H34">
        <v>1977</v>
      </c>
      <c r="I34">
        <v>1978</v>
      </c>
      <c r="J34">
        <v>1979</v>
      </c>
      <c r="K34">
        <v>1980</v>
      </c>
      <c r="L34">
        <v>1981</v>
      </c>
      <c r="M34">
        <v>1982</v>
      </c>
      <c r="N34">
        <v>1983</v>
      </c>
      <c r="O34">
        <v>1984</v>
      </c>
      <c r="P34">
        <v>1985</v>
      </c>
      <c r="Q34">
        <v>1986</v>
      </c>
      <c r="R34">
        <v>1987</v>
      </c>
      <c r="S34">
        <v>1988</v>
      </c>
      <c r="T34">
        <v>1989</v>
      </c>
      <c r="U34">
        <v>1990</v>
      </c>
      <c r="V34">
        <v>1991</v>
      </c>
      <c r="W34">
        <v>1992</v>
      </c>
      <c r="X34">
        <v>1993</v>
      </c>
      <c r="Y34">
        <v>1994</v>
      </c>
      <c r="Z34">
        <v>1995</v>
      </c>
      <c r="AA34">
        <v>1996</v>
      </c>
      <c r="AB34">
        <v>1997</v>
      </c>
      <c r="AC34">
        <v>1998</v>
      </c>
      <c r="AD34">
        <v>1999</v>
      </c>
      <c r="AE34">
        <v>2000</v>
      </c>
      <c r="AF34">
        <v>2001</v>
      </c>
      <c r="AG34">
        <v>2002</v>
      </c>
      <c r="AH34">
        <v>2003</v>
      </c>
      <c r="AI34">
        <v>2004</v>
      </c>
      <c r="AJ34">
        <v>2005</v>
      </c>
      <c r="AK34">
        <v>2006</v>
      </c>
      <c r="AL34">
        <v>2007</v>
      </c>
      <c r="AM34">
        <v>2008</v>
      </c>
      <c r="AN34">
        <v>2009</v>
      </c>
      <c r="AO34">
        <v>2010</v>
      </c>
      <c r="AP34">
        <v>2011</v>
      </c>
      <c r="AQ34">
        <v>2012</v>
      </c>
      <c r="AR34">
        <v>2013</v>
      </c>
      <c r="AS34">
        <v>2014</v>
      </c>
      <c r="AT34">
        <v>2015</v>
      </c>
      <c r="AU34">
        <v>2016</v>
      </c>
      <c r="AV34">
        <v>2017</v>
      </c>
      <c r="AW34">
        <v>2018</v>
      </c>
      <c r="AX34">
        <v>2019</v>
      </c>
      <c r="AY34">
        <v>2020</v>
      </c>
      <c r="AZ34">
        <v>2021</v>
      </c>
      <c r="BA34">
        <v>2022</v>
      </c>
      <c r="BB34">
        <v>2023</v>
      </c>
      <c r="BC34">
        <v>2024</v>
      </c>
      <c r="BD34">
        <v>2025</v>
      </c>
      <c r="BE34" t="s">
        <v>8</v>
      </c>
      <c r="BF34" t="s">
        <v>9</v>
      </c>
      <c r="BG34" t="s">
        <v>10</v>
      </c>
      <c r="BH34" t="s">
        <v>11</v>
      </c>
    </row>
    <row r="35" spans="1:60" x14ac:dyDescent="0.25">
      <c r="M35">
        <v>393</v>
      </c>
      <c r="N35">
        <v>592</v>
      </c>
      <c r="O35">
        <v>793</v>
      </c>
      <c r="P35">
        <v>703</v>
      </c>
      <c r="Q35">
        <v>760</v>
      </c>
      <c r="R35">
        <v>831</v>
      </c>
      <c r="S35">
        <v>199</v>
      </c>
      <c r="T35">
        <v>25</v>
      </c>
      <c r="AI35">
        <v>20</v>
      </c>
      <c r="AT35">
        <v>43</v>
      </c>
      <c r="AU35">
        <v>43</v>
      </c>
      <c r="BC35">
        <v>8</v>
      </c>
      <c r="BE35">
        <v>4409</v>
      </c>
      <c r="BF35" s="1">
        <v>8.6999999999999994E-2</v>
      </c>
      <c r="BG35">
        <v>4409</v>
      </c>
      <c r="BH35" s="1">
        <v>8.6999999999999994E-2</v>
      </c>
    </row>
    <row r="36" spans="1:60" x14ac:dyDescent="0.25">
      <c r="A36" t="s">
        <v>7</v>
      </c>
      <c r="B36">
        <v>187</v>
      </c>
      <c r="C36">
        <v>627</v>
      </c>
      <c r="D36">
        <v>1846</v>
      </c>
      <c r="E36">
        <v>1425</v>
      </c>
      <c r="F36">
        <v>1113</v>
      </c>
      <c r="G36">
        <v>1136</v>
      </c>
      <c r="H36">
        <v>1072</v>
      </c>
      <c r="I36">
        <v>1796</v>
      </c>
      <c r="J36">
        <v>1395</v>
      </c>
      <c r="K36">
        <v>2252</v>
      </c>
      <c r="L36">
        <v>2580</v>
      </c>
      <c r="M36">
        <v>3258</v>
      </c>
      <c r="N36">
        <v>3373</v>
      </c>
      <c r="O36">
        <v>4540</v>
      </c>
      <c r="P36">
        <v>3908</v>
      </c>
      <c r="Q36">
        <v>3393</v>
      </c>
      <c r="R36">
        <v>3474</v>
      </c>
      <c r="S36">
        <v>1917</v>
      </c>
      <c r="T36">
        <v>1513</v>
      </c>
      <c r="U36">
        <v>818</v>
      </c>
      <c r="AI36">
        <v>73</v>
      </c>
      <c r="AJ36">
        <v>193</v>
      </c>
      <c r="AK36">
        <v>308</v>
      </c>
      <c r="AL36">
        <v>299</v>
      </c>
      <c r="AM36">
        <v>379</v>
      </c>
      <c r="AN36">
        <v>418</v>
      </c>
      <c r="AO36">
        <v>480</v>
      </c>
      <c r="AP36">
        <v>622</v>
      </c>
      <c r="AQ36">
        <v>520</v>
      </c>
      <c r="AR36">
        <v>373</v>
      </c>
      <c r="AS36">
        <v>629</v>
      </c>
      <c r="AT36">
        <v>1485</v>
      </c>
      <c r="AU36">
        <v>1831</v>
      </c>
      <c r="AV36">
        <v>945</v>
      </c>
      <c r="AW36">
        <v>455</v>
      </c>
      <c r="AX36">
        <v>144</v>
      </c>
      <c r="AY36">
        <v>5</v>
      </c>
      <c r="BA36">
        <v>55</v>
      </c>
      <c r="BB36">
        <v>29</v>
      </c>
      <c r="BC36">
        <v>23</v>
      </c>
      <c r="BE36">
        <v>50888</v>
      </c>
      <c r="BF36" s="2">
        <v>1</v>
      </c>
      <c r="BG36">
        <v>50888</v>
      </c>
    </row>
    <row r="37" spans="1:60" x14ac:dyDescent="0.25">
      <c r="A37" t="s">
        <v>12</v>
      </c>
    </row>
    <row r="38" spans="1:60" x14ac:dyDescent="0.25">
      <c r="A38" t="s">
        <v>15</v>
      </c>
    </row>
    <row r="40" spans="1:60" x14ac:dyDescent="0.25">
      <c r="A40" t="s">
        <v>0</v>
      </c>
    </row>
    <row r="41" spans="1:60" x14ac:dyDescent="0.25">
      <c r="A41" t="s">
        <v>1</v>
      </c>
    </row>
    <row r="42" spans="1:60" x14ac:dyDescent="0.25">
      <c r="A42" t="s">
        <v>2</v>
      </c>
    </row>
    <row r="43" spans="1:60" x14ac:dyDescent="0.25">
      <c r="A43" t="s">
        <v>3</v>
      </c>
    </row>
    <row r="44" spans="1:60" x14ac:dyDescent="0.25">
      <c r="A44" t="s">
        <v>4</v>
      </c>
    </row>
    <row r="46" spans="1:60" x14ac:dyDescent="0.25">
      <c r="A46" t="s">
        <v>5</v>
      </c>
    </row>
    <row r="47" spans="1:60" x14ac:dyDescent="0.25">
      <c r="A47" t="s">
        <v>6</v>
      </c>
      <c r="B47">
        <v>1971</v>
      </c>
      <c r="C47">
        <v>1972</v>
      </c>
      <c r="D47">
        <v>1973</v>
      </c>
      <c r="E47">
        <v>1974</v>
      </c>
      <c r="F47">
        <v>1975</v>
      </c>
      <c r="G47">
        <v>1976</v>
      </c>
      <c r="H47">
        <v>1977</v>
      </c>
      <c r="I47">
        <v>1978</v>
      </c>
      <c r="J47">
        <v>1979</v>
      </c>
      <c r="K47">
        <v>1980</v>
      </c>
      <c r="L47">
        <v>1981</v>
      </c>
      <c r="M47">
        <v>1982</v>
      </c>
      <c r="N47">
        <v>1983</v>
      </c>
      <c r="O47">
        <v>1984</v>
      </c>
      <c r="P47">
        <v>1985</v>
      </c>
      <c r="Q47">
        <v>1986</v>
      </c>
      <c r="R47">
        <v>1987</v>
      </c>
      <c r="S47">
        <v>1988</v>
      </c>
      <c r="T47">
        <v>1989</v>
      </c>
      <c r="U47">
        <v>1990</v>
      </c>
      <c r="V47">
        <v>1991</v>
      </c>
      <c r="W47">
        <v>1992</v>
      </c>
      <c r="X47">
        <v>1993</v>
      </c>
      <c r="Y47">
        <v>1994</v>
      </c>
      <c r="Z47">
        <v>1995</v>
      </c>
      <c r="AA47">
        <v>1996</v>
      </c>
      <c r="AB47">
        <v>1997</v>
      </c>
      <c r="AC47">
        <v>1998</v>
      </c>
      <c r="AD47">
        <v>1999</v>
      </c>
      <c r="AE47">
        <v>2000</v>
      </c>
      <c r="AF47">
        <v>2001</v>
      </c>
      <c r="AG47">
        <v>2002</v>
      </c>
      <c r="AH47">
        <v>2003</v>
      </c>
      <c r="AI47">
        <v>2004</v>
      </c>
      <c r="AJ47">
        <v>2005</v>
      </c>
      <c r="AK47">
        <v>2006</v>
      </c>
      <c r="AL47">
        <v>2007</v>
      </c>
      <c r="AM47">
        <v>2008</v>
      </c>
      <c r="AN47">
        <v>2009</v>
      </c>
      <c r="AO47">
        <v>2010</v>
      </c>
      <c r="AP47">
        <v>2011</v>
      </c>
      <c r="AQ47">
        <v>2012</v>
      </c>
      <c r="AR47">
        <v>2013</v>
      </c>
      <c r="AS47">
        <v>2014</v>
      </c>
      <c r="AT47">
        <v>2015</v>
      </c>
      <c r="AU47">
        <v>2016</v>
      </c>
      <c r="AV47">
        <v>2017</v>
      </c>
      <c r="AW47">
        <v>2018</v>
      </c>
      <c r="AX47">
        <v>2019</v>
      </c>
      <c r="AY47">
        <v>2020</v>
      </c>
      <c r="AZ47">
        <v>2021</v>
      </c>
      <c r="BA47">
        <v>2022</v>
      </c>
      <c r="BB47">
        <v>2023</v>
      </c>
      <c r="BC47">
        <v>2024</v>
      </c>
      <c r="BD47">
        <v>2025</v>
      </c>
      <c r="BE47" t="s">
        <v>8</v>
      </c>
      <c r="BF47" t="s">
        <v>9</v>
      </c>
      <c r="BG47" t="s">
        <v>10</v>
      </c>
      <c r="BH47" t="s">
        <v>11</v>
      </c>
    </row>
    <row r="48" spans="1:60" x14ac:dyDescent="0.25">
      <c r="AG48">
        <v>4</v>
      </c>
      <c r="AH48">
        <v>18</v>
      </c>
      <c r="BE48">
        <v>21</v>
      </c>
      <c r="BF48" s="1">
        <v>3.0000000000000001E-3</v>
      </c>
      <c r="BG48">
        <v>21</v>
      </c>
      <c r="BH48" s="1">
        <v>3.0000000000000001E-3</v>
      </c>
    </row>
    <row r="49" spans="1:60" x14ac:dyDescent="0.25">
      <c r="A49" t="s">
        <v>7</v>
      </c>
      <c r="B49">
        <v>62</v>
      </c>
      <c r="C49">
        <v>11</v>
      </c>
      <c r="D49">
        <v>71</v>
      </c>
      <c r="E49">
        <v>67</v>
      </c>
      <c r="F49">
        <v>181</v>
      </c>
      <c r="G49">
        <v>150</v>
      </c>
      <c r="H49">
        <v>250</v>
      </c>
      <c r="I49">
        <v>81</v>
      </c>
      <c r="J49">
        <v>43</v>
      </c>
      <c r="K49">
        <v>12</v>
      </c>
      <c r="L49">
        <v>72</v>
      </c>
      <c r="M49">
        <v>180</v>
      </c>
      <c r="N49">
        <v>358</v>
      </c>
      <c r="O49">
        <v>120</v>
      </c>
      <c r="P49">
        <v>88</v>
      </c>
      <c r="Q49">
        <v>49</v>
      </c>
      <c r="R49">
        <v>40</v>
      </c>
      <c r="S49">
        <v>19</v>
      </c>
      <c r="T49">
        <v>117</v>
      </c>
      <c r="U49">
        <v>60</v>
      </c>
      <c r="X49">
        <v>55</v>
      </c>
      <c r="Y49">
        <v>145</v>
      </c>
      <c r="Z49">
        <v>278</v>
      </c>
      <c r="AA49">
        <v>285</v>
      </c>
      <c r="AB49">
        <v>157</v>
      </c>
      <c r="AC49">
        <v>22</v>
      </c>
      <c r="AE49">
        <v>121</v>
      </c>
      <c r="AF49">
        <v>33</v>
      </c>
      <c r="AG49">
        <v>40</v>
      </c>
      <c r="AH49">
        <v>37</v>
      </c>
      <c r="AI49">
        <v>49</v>
      </c>
      <c r="AJ49">
        <v>178</v>
      </c>
      <c r="AK49">
        <v>296</v>
      </c>
      <c r="AL49">
        <v>12</v>
      </c>
      <c r="AM49">
        <v>72</v>
      </c>
      <c r="AN49">
        <v>95</v>
      </c>
      <c r="AO49">
        <v>31</v>
      </c>
      <c r="AP49">
        <v>21</v>
      </c>
      <c r="AQ49">
        <v>127</v>
      </c>
      <c r="AR49">
        <v>492</v>
      </c>
      <c r="AS49">
        <v>719</v>
      </c>
      <c r="AT49">
        <v>152</v>
      </c>
      <c r="AU49">
        <v>422</v>
      </c>
      <c r="AV49">
        <v>757</v>
      </c>
      <c r="AW49">
        <v>282</v>
      </c>
      <c r="AX49">
        <v>88</v>
      </c>
      <c r="AY49">
        <v>85</v>
      </c>
      <c r="AZ49">
        <v>4</v>
      </c>
      <c r="BA49">
        <v>5</v>
      </c>
      <c r="BB49">
        <v>4</v>
      </c>
      <c r="BE49">
        <v>7092</v>
      </c>
      <c r="BF49" s="2">
        <v>1</v>
      </c>
      <c r="BG49">
        <v>7092</v>
      </c>
    </row>
    <row r="50" spans="1:60" x14ac:dyDescent="0.25">
      <c r="A50" t="s">
        <v>12</v>
      </c>
    </row>
    <row r="51" spans="1:60" x14ac:dyDescent="0.25">
      <c r="A51" t="s">
        <v>16</v>
      </c>
    </row>
    <row r="53" spans="1:60" x14ac:dyDescent="0.25">
      <c r="A53" t="s">
        <v>0</v>
      </c>
    </row>
    <row r="54" spans="1:60" x14ac:dyDescent="0.25">
      <c r="A54" t="s">
        <v>1</v>
      </c>
    </row>
    <row r="55" spans="1:60" x14ac:dyDescent="0.25">
      <c r="A55" t="s">
        <v>2</v>
      </c>
    </row>
    <row r="56" spans="1:60" x14ac:dyDescent="0.25">
      <c r="A56" t="s">
        <v>3</v>
      </c>
    </row>
    <row r="57" spans="1:60" x14ac:dyDescent="0.25">
      <c r="A57" t="s">
        <v>4</v>
      </c>
    </row>
    <row r="59" spans="1:60" x14ac:dyDescent="0.25">
      <c r="A59" t="s">
        <v>5</v>
      </c>
    </row>
    <row r="60" spans="1:60" x14ac:dyDescent="0.25">
      <c r="A60" t="s">
        <v>6</v>
      </c>
      <c r="B60">
        <v>1971</v>
      </c>
      <c r="C60">
        <v>1972</v>
      </c>
      <c r="D60">
        <v>1973</v>
      </c>
      <c r="E60">
        <v>1974</v>
      </c>
      <c r="F60">
        <v>1975</v>
      </c>
      <c r="G60">
        <v>1976</v>
      </c>
      <c r="H60">
        <v>1977</v>
      </c>
      <c r="I60">
        <v>1978</v>
      </c>
      <c r="J60">
        <v>1979</v>
      </c>
      <c r="K60">
        <v>1980</v>
      </c>
      <c r="L60">
        <v>1981</v>
      </c>
      <c r="M60">
        <v>1982</v>
      </c>
      <c r="N60">
        <v>1983</v>
      </c>
      <c r="O60">
        <v>1984</v>
      </c>
      <c r="P60">
        <v>1985</v>
      </c>
      <c r="Q60">
        <v>1986</v>
      </c>
      <c r="R60">
        <v>1987</v>
      </c>
      <c r="S60">
        <v>1988</v>
      </c>
      <c r="T60">
        <v>1989</v>
      </c>
      <c r="U60">
        <v>1990</v>
      </c>
      <c r="V60">
        <v>1991</v>
      </c>
      <c r="W60">
        <v>1992</v>
      </c>
      <c r="X60">
        <v>1993</v>
      </c>
      <c r="Y60">
        <v>1994</v>
      </c>
      <c r="Z60">
        <v>1995</v>
      </c>
      <c r="AA60">
        <v>1996</v>
      </c>
      <c r="AB60">
        <v>1997</v>
      </c>
      <c r="AC60">
        <v>1998</v>
      </c>
      <c r="AD60">
        <v>1999</v>
      </c>
      <c r="AE60">
        <v>2000</v>
      </c>
      <c r="AF60">
        <v>2001</v>
      </c>
      <c r="AG60">
        <v>2002</v>
      </c>
      <c r="AH60">
        <v>2003</v>
      </c>
      <c r="AI60">
        <v>2004</v>
      </c>
      <c r="AJ60">
        <v>2005</v>
      </c>
      <c r="AK60">
        <v>2006</v>
      </c>
      <c r="AL60">
        <v>2007</v>
      </c>
      <c r="AM60">
        <v>2008</v>
      </c>
      <c r="AN60">
        <v>2009</v>
      </c>
      <c r="AO60">
        <v>2010</v>
      </c>
      <c r="AP60">
        <v>2011</v>
      </c>
      <c r="AQ60">
        <v>2012</v>
      </c>
      <c r="AR60">
        <v>2013</v>
      </c>
      <c r="AS60">
        <v>2014</v>
      </c>
      <c r="AT60">
        <v>2015</v>
      </c>
      <c r="AU60">
        <v>2016</v>
      </c>
      <c r="AV60">
        <v>2017</v>
      </c>
      <c r="AW60">
        <v>2018</v>
      </c>
      <c r="AX60">
        <v>2019</v>
      </c>
      <c r="AY60">
        <v>2020</v>
      </c>
      <c r="AZ60">
        <v>2021</v>
      </c>
      <c r="BA60">
        <v>2022</v>
      </c>
      <c r="BB60">
        <v>2023</v>
      </c>
      <c r="BC60">
        <v>2024</v>
      </c>
      <c r="BD60">
        <v>2025</v>
      </c>
      <c r="BE60" t="s">
        <v>8</v>
      </c>
      <c r="BF60" t="s">
        <v>9</v>
      </c>
      <c r="BG60" t="s">
        <v>10</v>
      </c>
      <c r="BH60" t="s">
        <v>11</v>
      </c>
    </row>
    <row r="61" spans="1:60" x14ac:dyDescent="0.25">
      <c r="AE61">
        <v>34</v>
      </c>
      <c r="AF61">
        <v>17</v>
      </c>
      <c r="AG61">
        <v>22</v>
      </c>
      <c r="AH61">
        <v>23</v>
      </c>
      <c r="BE61">
        <v>96</v>
      </c>
      <c r="BF61" s="1">
        <v>6.0000000000000001E-3</v>
      </c>
      <c r="BG61">
        <v>96</v>
      </c>
      <c r="BH61" s="1">
        <v>6.0000000000000001E-3</v>
      </c>
    </row>
    <row r="62" spans="1:60" x14ac:dyDescent="0.25">
      <c r="A62" t="s">
        <v>7</v>
      </c>
      <c r="B62">
        <v>109</v>
      </c>
      <c r="C62">
        <v>30</v>
      </c>
      <c r="E62">
        <v>5</v>
      </c>
      <c r="F62">
        <v>77</v>
      </c>
      <c r="G62">
        <v>230</v>
      </c>
      <c r="H62">
        <v>485</v>
      </c>
      <c r="I62">
        <v>504</v>
      </c>
      <c r="J62">
        <v>223</v>
      </c>
      <c r="K62">
        <v>35</v>
      </c>
      <c r="L62">
        <v>13</v>
      </c>
      <c r="M62">
        <v>173</v>
      </c>
      <c r="N62">
        <v>287</v>
      </c>
      <c r="O62">
        <v>490</v>
      </c>
      <c r="P62">
        <v>619</v>
      </c>
      <c r="Q62">
        <v>167</v>
      </c>
      <c r="R62">
        <v>50</v>
      </c>
      <c r="S62">
        <v>7</v>
      </c>
      <c r="T62">
        <v>134</v>
      </c>
      <c r="U62">
        <v>326</v>
      </c>
      <c r="V62">
        <v>515</v>
      </c>
      <c r="W62">
        <v>896</v>
      </c>
      <c r="X62">
        <v>694</v>
      </c>
      <c r="Y62">
        <v>36</v>
      </c>
      <c r="Z62">
        <v>637</v>
      </c>
      <c r="AA62">
        <v>1191</v>
      </c>
      <c r="AB62">
        <v>482</v>
      </c>
      <c r="AC62">
        <v>46</v>
      </c>
      <c r="AD62">
        <v>197</v>
      </c>
      <c r="AE62">
        <v>226</v>
      </c>
      <c r="AF62">
        <v>67</v>
      </c>
      <c r="AG62">
        <v>22</v>
      </c>
      <c r="AH62">
        <v>42</v>
      </c>
      <c r="AI62">
        <v>2</v>
      </c>
      <c r="AJ62">
        <v>12</v>
      </c>
      <c r="AK62">
        <v>5</v>
      </c>
      <c r="AL62">
        <v>288</v>
      </c>
      <c r="AM62">
        <v>5</v>
      </c>
      <c r="AN62">
        <v>8</v>
      </c>
      <c r="AO62">
        <v>87</v>
      </c>
      <c r="AP62">
        <v>116</v>
      </c>
      <c r="AQ62">
        <v>31</v>
      </c>
      <c r="AR62">
        <v>73</v>
      </c>
      <c r="AS62">
        <v>701</v>
      </c>
      <c r="AT62">
        <v>317</v>
      </c>
      <c r="AU62">
        <v>159</v>
      </c>
      <c r="AV62">
        <v>114</v>
      </c>
      <c r="AW62">
        <v>96</v>
      </c>
      <c r="AX62">
        <v>55</v>
      </c>
      <c r="AY62">
        <v>67</v>
      </c>
      <c r="AZ62">
        <v>889</v>
      </c>
      <c r="BA62">
        <v>2245</v>
      </c>
      <c r="BB62">
        <v>497</v>
      </c>
      <c r="BC62">
        <v>503</v>
      </c>
      <c r="BE62">
        <v>15285</v>
      </c>
      <c r="BF62" s="2">
        <v>1</v>
      </c>
      <c r="BG62">
        <v>15285</v>
      </c>
    </row>
    <row r="63" spans="1:60" x14ac:dyDescent="0.25">
      <c r="A63" t="s">
        <v>12</v>
      </c>
    </row>
    <row r="64" spans="1:60" x14ac:dyDescent="0.25">
      <c r="A64" t="s">
        <v>17</v>
      </c>
    </row>
    <row r="66" spans="1:60" x14ac:dyDescent="0.25">
      <c r="A66" t="s">
        <v>0</v>
      </c>
    </row>
    <row r="67" spans="1:60" x14ac:dyDescent="0.25">
      <c r="A67" t="s">
        <v>1</v>
      </c>
    </row>
    <row r="68" spans="1:60" x14ac:dyDescent="0.25">
      <c r="A68" t="s">
        <v>2</v>
      </c>
    </row>
    <row r="69" spans="1:60" x14ac:dyDescent="0.25">
      <c r="A69" t="s">
        <v>3</v>
      </c>
    </row>
    <row r="70" spans="1:60" x14ac:dyDescent="0.25">
      <c r="A70" t="s">
        <v>4</v>
      </c>
    </row>
    <row r="72" spans="1:60" x14ac:dyDescent="0.25">
      <c r="A72" t="s">
        <v>5</v>
      </c>
    </row>
    <row r="73" spans="1:60" x14ac:dyDescent="0.25">
      <c r="A73" t="s">
        <v>6</v>
      </c>
      <c r="B73">
        <v>1971</v>
      </c>
      <c r="C73">
        <v>1972</v>
      </c>
      <c r="D73">
        <v>1973</v>
      </c>
      <c r="E73">
        <v>1974</v>
      </c>
      <c r="F73">
        <v>1975</v>
      </c>
      <c r="G73">
        <v>1976</v>
      </c>
      <c r="H73">
        <v>1977</v>
      </c>
      <c r="I73">
        <v>1978</v>
      </c>
      <c r="J73">
        <v>1979</v>
      </c>
      <c r="K73">
        <v>1980</v>
      </c>
      <c r="L73">
        <v>1981</v>
      </c>
      <c r="M73">
        <v>1982</v>
      </c>
      <c r="N73">
        <v>1983</v>
      </c>
      <c r="O73">
        <v>1984</v>
      </c>
      <c r="P73">
        <v>1985</v>
      </c>
      <c r="Q73">
        <v>1986</v>
      </c>
      <c r="R73">
        <v>1987</v>
      </c>
      <c r="S73">
        <v>1988</v>
      </c>
      <c r="T73">
        <v>1989</v>
      </c>
      <c r="U73">
        <v>1990</v>
      </c>
      <c r="V73">
        <v>1991</v>
      </c>
      <c r="W73">
        <v>1992</v>
      </c>
      <c r="X73">
        <v>1993</v>
      </c>
      <c r="Y73">
        <v>1994</v>
      </c>
      <c r="Z73">
        <v>1995</v>
      </c>
      <c r="AA73">
        <v>1996</v>
      </c>
      <c r="AB73">
        <v>1997</v>
      </c>
      <c r="AC73">
        <v>1998</v>
      </c>
      <c r="AD73">
        <v>1999</v>
      </c>
      <c r="AE73">
        <v>2000</v>
      </c>
      <c r="AF73">
        <v>2001</v>
      </c>
      <c r="AG73">
        <v>2002</v>
      </c>
      <c r="AH73">
        <v>2003</v>
      </c>
      <c r="AI73">
        <v>2004</v>
      </c>
      <c r="AJ73">
        <v>2005</v>
      </c>
      <c r="AK73">
        <v>2006</v>
      </c>
      <c r="AL73">
        <v>2007</v>
      </c>
      <c r="AM73">
        <v>2008</v>
      </c>
      <c r="AN73">
        <v>2009</v>
      </c>
      <c r="AO73">
        <v>2010</v>
      </c>
      <c r="AP73">
        <v>2011</v>
      </c>
      <c r="AQ73">
        <v>2012</v>
      </c>
      <c r="AR73">
        <v>2013</v>
      </c>
      <c r="AS73">
        <v>2014</v>
      </c>
      <c r="AT73">
        <v>2015</v>
      </c>
      <c r="AU73">
        <v>2016</v>
      </c>
      <c r="AV73">
        <v>2017</v>
      </c>
      <c r="AW73">
        <v>2018</v>
      </c>
      <c r="AX73">
        <v>2019</v>
      </c>
      <c r="AY73">
        <v>2020</v>
      </c>
      <c r="AZ73">
        <v>2021</v>
      </c>
      <c r="BA73">
        <v>2022</v>
      </c>
      <c r="BB73">
        <v>2023</v>
      </c>
      <c r="BC73">
        <v>2024</v>
      </c>
      <c r="BD73">
        <v>2025</v>
      </c>
      <c r="BE73" t="s">
        <v>8</v>
      </c>
      <c r="BF73" t="s">
        <v>9</v>
      </c>
      <c r="BG73" t="s">
        <v>10</v>
      </c>
      <c r="BH73" t="s">
        <v>11</v>
      </c>
    </row>
    <row r="74" spans="1:60" x14ac:dyDescent="0.25">
      <c r="AV74">
        <v>29</v>
      </c>
      <c r="AW74">
        <v>88</v>
      </c>
      <c r="BE74">
        <v>118</v>
      </c>
      <c r="BF74" s="1">
        <v>7.0000000000000001E-3</v>
      </c>
      <c r="BG74">
        <v>118</v>
      </c>
      <c r="BH74" s="1">
        <v>7.0000000000000001E-3</v>
      </c>
    </row>
    <row r="75" spans="1:60" x14ac:dyDescent="0.25">
      <c r="A75" t="s">
        <v>7</v>
      </c>
      <c r="B75">
        <v>16</v>
      </c>
      <c r="F75">
        <v>38</v>
      </c>
      <c r="G75">
        <v>26</v>
      </c>
      <c r="H75">
        <v>55</v>
      </c>
      <c r="I75">
        <v>16</v>
      </c>
      <c r="J75">
        <v>14</v>
      </c>
      <c r="K75">
        <v>57</v>
      </c>
      <c r="L75">
        <v>48</v>
      </c>
      <c r="M75">
        <v>127</v>
      </c>
      <c r="N75">
        <v>460</v>
      </c>
      <c r="O75">
        <v>320</v>
      </c>
      <c r="P75">
        <v>2</v>
      </c>
      <c r="Q75">
        <v>2</v>
      </c>
      <c r="R75">
        <v>57</v>
      </c>
      <c r="S75">
        <v>91</v>
      </c>
      <c r="T75">
        <v>10</v>
      </c>
      <c r="U75">
        <v>5</v>
      </c>
      <c r="V75">
        <v>17</v>
      </c>
      <c r="W75">
        <v>63</v>
      </c>
      <c r="X75">
        <v>10</v>
      </c>
      <c r="Y75">
        <v>9</v>
      </c>
      <c r="Z75">
        <v>10</v>
      </c>
      <c r="AA75">
        <v>204</v>
      </c>
      <c r="AB75">
        <v>238</v>
      </c>
      <c r="AC75">
        <v>302</v>
      </c>
      <c r="AD75">
        <v>61</v>
      </c>
      <c r="AE75">
        <v>3</v>
      </c>
      <c r="AL75">
        <v>27</v>
      </c>
      <c r="AN75">
        <v>286</v>
      </c>
      <c r="AO75">
        <v>30</v>
      </c>
      <c r="AP75">
        <v>190</v>
      </c>
      <c r="AQ75">
        <v>335</v>
      </c>
      <c r="AR75">
        <v>82</v>
      </c>
      <c r="AS75">
        <v>55</v>
      </c>
      <c r="AT75">
        <v>490</v>
      </c>
      <c r="AU75">
        <v>596</v>
      </c>
      <c r="AV75">
        <v>291</v>
      </c>
      <c r="AW75">
        <v>637</v>
      </c>
      <c r="AX75">
        <v>2292</v>
      </c>
      <c r="AY75">
        <v>1175</v>
      </c>
      <c r="AZ75">
        <v>2082</v>
      </c>
      <c r="BA75">
        <v>3373</v>
      </c>
      <c r="BB75">
        <v>2000</v>
      </c>
      <c r="BC75">
        <v>1152</v>
      </c>
      <c r="BE75">
        <v>17352</v>
      </c>
      <c r="BF75" s="2">
        <v>1</v>
      </c>
      <c r="BG75">
        <v>17352</v>
      </c>
    </row>
    <row r="76" spans="1:60" x14ac:dyDescent="0.25">
      <c r="A76" t="s">
        <v>12</v>
      </c>
    </row>
    <row r="77" spans="1:60" x14ac:dyDescent="0.25">
      <c r="A77" t="s">
        <v>18</v>
      </c>
    </row>
    <row r="79" spans="1:60" x14ac:dyDescent="0.25">
      <c r="A79" t="s">
        <v>0</v>
      </c>
    </row>
    <row r="80" spans="1:60" x14ac:dyDescent="0.25">
      <c r="A80" t="s">
        <v>1</v>
      </c>
    </row>
    <row r="81" spans="1:60" x14ac:dyDescent="0.25">
      <c r="A81" t="s">
        <v>2</v>
      </c>
    </row>
    <row r="82" spans="1:60" x14ac:dyDescent="0.25">
      <c r="A82" t="s">
        <v>3</v>
      </c>
    </row>
    <row r="83" spans="1:60" x14ac:dyDescent="0.25">
      <c r="A83" t="s">
        <v>4</v>
      </c>
    </row>
    <row r="85" spans="1:60" x14ac:dyDescent="0.25">
      <c r="A85" t="s">
        <v>5</v>
      </c>
    </row>
    <row r="86" spans="1:60" x14ac:dyDescent="0.25">
      <c r="A86" t="s">
        <v>6</v>
      </c>
      <c r="B86">
        <v>1971</v>
      </c>
      <c r="C86">
        <v>1972</v>
      </c>
      <c r="D86">
        <v>1973</v>
      </c>
      <c r="E86">
        <v>1974</v>
      </c>
      <c r="F86">
        <v>1975</v>
      </c>
      <c r="G86">
        <v>1976</v>
      </c>
      <c r="H86">
        <v>1977</v>
      </c>
      <c r="I86">
        <v>1978</v>
      </c>
      <c r="J86">
        <v>1979</v>
      </c>
      <c r="K86">
        <v>1980</v>
      </c>
      <c r="L86">
        <v>1981</v>
      </c>
      <c r="M86">
        <v>1982</v>
      </c>
      <c r="N86">
        <v>1983</v>
      </c>
      <c r="O86">
        <v>1984</v>
      </c>
      <c r="P86">
        <v>1985</v>
      </c>
      <c r="Q86">
        <v>1986</v>
      </c>
      <c r="R86">
        <v>1987</v>
      </c>
      <c r="S86">
        <v>1988</v>
      </c>
      <c r="T86">
        <v>1989</v>
      </c>
      <c r="U86">
        <v>1990</v>
      </c>
      <c r="V86">
        <v>1991</v>
      </c>
      <c r="W86">
        <v>1992</v>
      </c>
      <c r="X86">
        <v>1993</v>
      </c>
      <c r="Y86">
        <v>1994</v>
      </c>
      <c r="Z86">
        <v>1995</v>
      </c>
      <c r="AA86">
        <v>1996</v>
      </c>
      <c r="AB86">
        <v>1997</v>
      </c>
      <c r="AC86">
        <v>1998</v>
      </c>
      <c r="AD86">
        <v>1999</v>
      </c>
      <c r="AE86">
        <v>2000</v>
      </c>
      <c r="AF86">
        <v>2001</v>
      </c>
      <c r="AG86">
        <v>2002</v>
      </c>
      <c r="AH86">
        <v>2003</v>
      </c>
      <c r="AI86">
        <v>2004</v>
      </c>
      <c r="AJ86">
        <v>2005</v>
      </c>
      <c r="AK86">
        <v>2006</v>
      </c>
      <c r="AL86">
        <v>2007</v>
      </c>
      <c r="AM86">
        <v>2008</v>
      </c>
      <c r="AN86">
        <v>2009</v>
      </c>
      <c r="AO86">
        <v>2010</v>
      </c>
      <c r="AP86">
        <v>2011</v>
      </c>
      <c r="AQ86">
        <v>2012</v>
      </c>
      <c r="AR86">
        <v>2013</v>
      </c>
      <c r="AS86">
        <v>2014</v>
      </c>
      <c r="AT86">
        <v>2015</v>
      </c>
      <c r="AU86">
        <v>2016</v>
      </c>
      <c r="AV86">
        <v>2017</v>
      </c>
      <c r="AW86">
        <v>2018</v>
      </c>
      <c r="AX86">
        <v>2019</v>
      </c>
      <c r="AY86">
        <v>2020</v>
      </c>
      <c r="AZ86">
        <v>2021</v>
      </c>
      <c r="BA86">
        <v>2022</v>
      </c>
      <c r="BB86">
        <v>2023</v>
      </c>
      <c r="BC86">
        <v>2024</v>
      </c>
      <c r="BD86">
        <v>2025</v>
      </c>
      <c r="BE86" t="s">
        <v>8</v>
      </c>
      <c r="BF86" t="s">
        <v>9</v>
      </c>
      <c r="BG86" t="s">
        <v>10</v>
      </c>
      <c r="BH86" t="s">
        <v>11</v>
      </c>
    </row>
    <row r="87" spans="1:60" x14ac:dyDescent="0.25">
      <c r="X87">
        <v>7</v>
      </c>
      <c r="Y87">
        <v>7</v>
      </c>
      <c r="AR87">
        <v>15</v>
      </c>
      <c r="AS87">
        <v>15</v>
      </c>
      <c r="AT87">
        <v>15</v>
      </c>
      <c r="AU87">
        <v>15</v>
      </c>
      <c r="AV87">
        <v>37</v>
      </c>
      <c r="AW87">
        <v>46</v>
      </c>
      <c r="AX87">
        <v>12</v>
      </c>
      <c r="AY87">
        <v>13</v>
      </c>
      <c r="BE87">
        <v>182</v>
      </c>
      <c r="BF87" s="1">
        <v>6.0000000000000001E-3</v>
      </c>
      <c r="BG87">
        <v>182</v>
      </c>
      <c r="BH87" s="1">
        <v>6.0000000000000001E-3</v>
      </c>
    </row>
    <row r="88" spans="1:60" x14ac:dyDescent="0.25">
      <c r="A88" t="s">
        <v>7</v>
      </c>
      <c r="B88">
        <v>24</v>
      </c>
      <c r="C88">
        <v>26</v>
      </c>
      <c r="D88">
        <v>88</v>
      </c>
      <c r="E88">
        <v>100</v>
      </c>
      <c r="F88">
        <v>153</v>
      </c>
      <c r="G88">
        <v>283</v>
      </c>
      <c r="H88">
        <v>304</v>
      </c>
      <c r="I88">
        <v>217</v>
      </c>
      <c r="J88">
        <v>18</v>
      </c>
      <c r="K88">
        <v>201</v>
      </c>
      <c r="L88">
        <v>427</v>
      </c>
      <c r="M88">
        <v>160</v>
      </c>
      <c r="N88">
        <v>163</v>
      </c>
      <c r="O88">
        <v>310</v>
      </c>
      <c r="P88">
        <v>144</v>
      </c>
      <c r="Q88">
        <v>132</v>
      </c>
      <c r="R88">
        <v>191</v>
      </c>
      <c r="S88">
        <v>42</v>
      </c>
      <c r="T88">
        <v>663</v>
      </c>
      <c r="U88">
        <v>561</v>
      </c>
      <c r="V88">
        <v>237</v>
      </c>
      <c r="W88">
        <v>205</v>
      </c>
      <c r="X88">
        <v>582</v>
      </c>
      <c r="Y88">
        <v>571</v>
      </c>
      <c r="Z88">
        <v>426</v>
      </c>
      <c r="AA88">
        <v>481</v>
      </c>
      <c r="AB88">
        <v>690</v>
      </c>
      <c r="AC88">
        <v>757</v>
      </c>
      <c r="AD88">
        <v>437</v>
      </c>
      <c r="AE88">
        <v>246</v>
      </c>
      <c r="AF88">
        <v>183</v>
      </c>
      <c r="AG88">
        <v>221</v>
      </c>
      <c r="AH88">
        <v>676</v>
      </c>
      <c r="AI88">
        <v>1145</v>
      </c>
      <c r="AJ88">
        <v>2072</v>
      </c>
      <c r="AK88">
        <v>1925</v>
      </c>
      <c r="AL88">
        <v>821</v>
      </c>
      <c r="AM88">
        <v>730</v>
      </c>
      <c r="AN88">
        <v>604</v>
      </c>
      <c r="AO88">
        <v>646</v>
      </c>
      <c r="AP88">
        <v>1217</v>
      </c>
      <c r="AQ88">
        <v>1139</v>
      </c>
      <c r="AR88">
        <v>2302</v>
      </c>
      <c r="AS88">
        <v>734</v>
      </c>
      <c r="AT88">
        <v>1182</v>
      </c>
      <c r="AU88">
        <v>941</v>
      </c>
      <c r="AV88">
        <v>820</v>
      </c>
      <c r="AW88">
        <v>1055</v>
      </c>
      <c r="AX88">
        <v>703</v>
      </c>
      <c r="AY88">
        <v>651</v>
      </c>
      <c r="AZ88">
        <v>538</v>
      </c>
      <c r="BA88">
        <v>714</v>
      </c>
      <c r="BB88">
        <v>948</v>
      </c>
      <c r="BC88">
        <v>932</v>
      </c>
      <c r="BE88">
        <v>31740</v>
      </c>
      <c r="BF88" s="2">
        <v>1</v>
      </c>
      <c r="BG88">
        <v>31740</v>
      </c>
    </row>
    <row r="89" spans="1:60" x14ac:dyDescent="0.25">
      <c r="A89" t="s">
        <v>12</v>
      </c>
    </row>
    <row r="90" spans="1:60" x14ac:dyDescent="0.25">
      <c r="A90" t="s">
        <v>19</v>
      </c>
    </row>
    <row r="92" spans="1:60" x14ac:dyDescent="0.25">
      <c r="A92" t="s">
        <v>0</v>
      </c>
    </row>
    <row r="93" spans="1:60" x14ac:dyDescent="0.25">
      <c r="A93" t="s">
        <v>1</v>
      </c>
    </row>
    <row r="94" spans="1:60" x14ac:dyDescent="0.25">
      <c r="A94" t="s">
        <v>2</v>
      </c>
    </row>
    <row r="95" spans="1:60" x14ac:dyDescent="0.25">
      <c r="A95" t="s">
        <v>3</v>
      </c>
    </row>
    <row r="96" spans="1:60" x14ac:dyDescent="0.25">
      <c r="A96" t="s">
        <v>4</v>
      </c>
    </row>
    <row r="98" spans="1:60" x14ac:dyDescent="0.25">
      <c r="A98" t="s">
        <v>5</v>
      </c>
    </row>
    <row r="99" spans="1:60" x14ac:dyDescent="0.25">
      <c r="A99" t="s">
        <v>6</v>
      </c>
      <c r="B99">
        <v>1971</v>
      </c>
      <c r="C99">
        <v>1972</v>
      </c>
      <c r="D99">
        <v>1973</v>
      </c>
      <c r="E99">
        <v>1974</v>
      </c>
      <c r="F99">
        <v>1975</v>
      </c>
      <c r="G99">
        <v>1976</v>
      </c>
      <c r="H99">
        <v>1977</v>
      </c>
      <c r="I99">
        <v>1978</v>
      </c>
      <c r="J99">
        <v>1979</v>
      </c>
      <c r="K99">
        <v>1980</v>
      </c>
      <c r="L99">
        <v>1981</v>
      </c>
      <c r="M99">
        <v>1982</v>
      </c>
      <c r="N99">
        <v>1983</v>
      </c>
      <c r="O99">
        <v>1984</v>
      </c>
      <c r="P99">
        <v>1985</v>
      </c>
      <c r="Q99">
        <v>1986</v>
      </c>
      <c r="R99">
        <v>1987</v>
      </c>
      <c r="S99">
        <v>1988</v>
      </c>
      <c r="T99">
        <v>1989</v>
      </c>
      <c r="U99">
        <v>1990</v>
      </c>
      <c r="V99">
        <v>1991</v>
      </c>
      <c r="W99">
        <v>1992</v>
      </c>
      <c r="X99">
        <v>1993</v>
      </c>
      <c r="Y99">
        <v>1994</v>
      </c>
      <c r="Z99">
        <v>1995</v>
      </c>
      <c r="AA99">
        <v>1996</v>
      </c>
      <c r="AB99">
        <v>1997</v>
      </c>
      <c r="AC99">
        <v>1998</v>
      </c>
      <c r="AD99">
        <v>1999</v>
      </c>
      <c r="AE99">
        <v>2000</v>
      </c>
      <c r="AF99">
        <v>2001</v>
      </c>
      <c r="AG99">
        <v>2002</v>
      </c>
      <c r="AH99">
        <v>2003</v>
      </c>
      <c r="AI99">
        <v>2004</v>
      </c>
      <c r="AJ99">
        <v>2005</v>
      </c>
      <c r="AK99">
        <v>2006</v>
      </c>
      <c r="AL99">
        <v>2007</v>
      </c>
      <c r="AM99">
        <v>2008</v>
      </c>
      <c r="AN99">
        <v>2009</v>
      </c>
      <c r="AO99">
        <v>2010</v>
      </c>
      <c r="AP99">
        <v>2011</v>
      </c>
      <c r="AQ99">
        <v>2012</v>
      </c>
      <c r="AR99">
        <v>2013</v>
      </c>
      <c r="AS99">
        <v>2014</v>
      </c>
      <c r="AT99">
        <v>2015</v>
      </c>
      <c r="AU99">
        <v>2016</v>
      </c>
      <c r="AV99">
        <v>2017</v>
      </c>
      <c r="AW99">
        <v>2018</v>
      </c>
      <c r="AX99">
        <v>2019</v>
      </c>
      <c r="AY99">
        <v>2020</v>
      </c>
      <c r="AZ99">
        <v>2021</v>
      </c>
      <c r="BA99">
        <v>2022</v>
      </c>
      <c r="BB99">
        <v>2023</v>
      </c>
      <c r="BC99">
        <v>2024</v>
      </c>
      <c r="BD99">
        <v>2025</v>
      </c>
      <c r="BE99" t="s">
        <v>8</v>
      </c>
      <c r="BF99" t="s">
        <v>9</v>
      </c>
      <c r="BG99" t="s">
        <v>10</v>
      </c>
      <c r="BH99" t="s">
        <v>11</v>
      </c>
    </row>
    <row r="101" spans="1:60" x14ac:dyDescent="0.25">
      <c r="A101" t="s">
        <v>7</v>
      </c>
    </row>
    <row r="103" spans="1:60" x14ac:dyDescent="0.25">
      <c r="A103" t="s">
        <v>0</v>
      </c>
    </row>
    <row r="104" spans="1:60" x14ac:dyDescent="0.25">
      <c r="A104" t="s">
        <v>1</v>
      </c>
    </row>
    <row r="105" spans="1:60" x14ac:dyDescent="0.25">
      <c r="A105" t="s">
        <v>2</v>
      </c>
    </row>
    <row r="106" spans="1:60" x14ac:dyDescent="0.25">
      <c r="A106" t="s">
        <v>3</v>
      </c>
    </row>
    <row r="107" spans="1:60" x14ac:dyDescent="0.25">
      <c r="A107" t="s">
        <v>4</v>
      </c>
    </row>
    <row r="109" spans="1:60" x14ac:dyDescent="0.25">
      <c r="A109" t="s">
        <v>5</v>
      </c>
    </row>
    <row r="110" spans="1:60" x14ac:dyDescent="0.25">
      <c r="A110" t="s">
        <v>6</v>
      </c>
      <c r="B110">
        <v>1971</v>
      </c>
      <c r="C110">
        <v>1972</v>
      </c>
      <c r="D110">
        <v>1973</v>
      </c>
      <c r="E110">
        <v>1974</v>
      </c>
      <c r="F110">
        <v>1975</v>
      </c>
      <c r="G110">
        <v>1976</v>
      </c>
      <c r="H110">
        <v>1977</v>
      </c>
      <c r="I110">
        <v>1978</v>
      </c>
      <c r="J110">
        <v>1979</v>
      </c>
      <c r="K110">
        <v>1980</v>
      </c>
      <c r="L110">
        <v>1981</v>
      </c>
      <c r="M110">
        <v>1982</v>
      </c>
      <c r="N110">
        <v>1983</v>
      </c>
      <c r="O110">
        <v>1984</v>
      </c>
      <c r="P110">
        <v>1985</v>
      </c>
      <c r="Q110">
        <v>1986</v>
      </c>
      <c r="R110">
        <v>1987</v>
      </c>
      <c r="S110">
        <v>1988</v>
      </c>
      <c r="T110">
        <v>1989</v>
      </c>
      <c r="U110">
        <v>1990</v>
      </c>
      <c r="V110">
        <v>1991</v>
      </c>
      <c r="W110">
        <v>1992</v>
      </c>
      <c r="X110">
        <v>1993</v>
      </c>
      <c r="Y110">
        <v>1994</v>
      </c>
      <c r="Z110">
        <v>1995</v>
      </c>
      <c r="AA110">
        <v>1996</v>
      </c>
      <c r="AB110">
        <v>1997</v>
      </c>
      <c r="AC110">
        <v>1998</v>
      </c>
      <c r="AD110">
        <v>1999</v>
      </c>
      <c r="AE110">
        <v>2000</v>
      </c>
      <c r="AF110">
        <v>2001</v>
      </c>
      <c r="AG110">
        <v>2002</v>
      </c>
      <c r="AH110">
        <v>2003</v>
      </c>
      <c r="AI110">
        <v>2004</v>
      </c>
      <c r="AJ110">
        <v>2005</v>
      </c>
      <c r="AK110">
        <v>2006</v>
      </c>
      <c r="AL110">
        <v>2007</v>
      </c>
      <c r="AM110">
        <v>2008</v>
      </c>
      <c r="AN110">
        <v>2009</v>
      </c>
      <c r="AO110">
        <v>2010</v>
      </c>
      <c r="AP110">
        <v>2011</v>
      </c>
      <c r="AQ110">
        <v>2012</v>
      </c>
      <c r="AR110">
        <v>2013</v>
      </c>
      <c r="AS110">
        <v>2014</v>
      </c>
      <c r="AT110">
        <v>2015</v>
      </c>
      <c r="AU110">
        <v>2016</v>
      </c>
      <c r="AV110">
        <v>2017</v>
      </c>
      <c r="AW110">
        <v>2018</v>
      </c>
      <c r="AX110">
        <v>2019</v>
      </c>
      <c r="AY110">
        <v>2020</v>
      </c>
      <c r="AZ110">
        <v>2021</v>
      </c>
      <c r="BA110">
        <v>2022</v>
      </c>
      <c r="BB110">
        <v>2023</v>
      </c>
      <c r="BC110">
        <v>2024</v>
      </c>
      <c r="BD110">
        <v>2025</v>
      </c>
      <c r="BE110" t="s">
        <v>8</v>
      </c>
      <c r="BF110" t="s">
        <v>9</v>
      </c>
      <c r="BG110" t="s">
        <v>10</v>
      </c>
      <c r="BH110" t="s">
        <v>11</v>
      </c>
    </row>
    <row r="111" spans="1:60" x14ac:dyDescent="0.25">
      <c r="AU111">
        <v>4</v>
      </c>
      <c r="BE111">
        <v>4</v>
      </c>
      <c r="BF111" s="1">
        <v>1E-3</v>
      </c>
      <c r="BG111">
        <v>4</v>
      </c>
      <c r="BH111" s="1">
        <v>1E-3</v>
      </c>
    </row>
    <row r="112" spans="1:60" x14ac:dyDescent="0.25">
      <c r="A112" t="s">
        <v>7</v>
      </c>
      <c r="B112">
        <v>0</v>
      </c>
      <c r="C112">
        <v>7</v>
      </c>
      <c r="D112">
        <v>0</v>
      </c>
      <c r="E112">
        <v>1</v>
      </c>
      <c r="H112">
        <v>2</v>
      </c>
      <c r="I112">
        <v>12</v>
      </c>
      <c r="J112">
        <v>10</v>
      </c>
      <c r="K112">
        <v>22</v>
      </c>
      <c r="L112">
        <v>40</v>
      </c>
      <c r="M112">
        <v>55</v>
      </c>
      <c r="N112">
        <v>10</v>
      </c>
      <c r="O112">
        <v>129</v>
      </c>
      <c r="P112">
        <v>55</v>
      </c>
      <c r="Q112">
        <v>133</v>
      </c>
      <c r="R112">
        <v>249</v>
      </c>
      <c r="S112">
        <v>135</v>
      </c>
      <c r="T112">
        <v>66</v>
      </c>
      <c r="U112">
        <v>362</v>
      </c>
      <c r="V112">
        <v>68</v>
      </c>
      <c r="W112">
        <v>42</v>
      </c>
      <c r="X112">
        <v>1</v>
      </c>
      <c r="Y112">
        <v>8</v>
      </c>
      <c r="Z112">
        <v>71</v>
      </c>
      <c r="AA112">
        <v>51</v>
      </c>
      <c r="AB112">
        <v>197</v>
      </c>
      <c r="AC112">
        <v>8</v>
      </c>
      <c r="AE112">
        <v>299</v>
      </c>
      <c r="AF112">
        <v>28</v>
      </c>
      <c r="AG112">
        <v>54</v>
      </c>
      <c r="AH112">
        <v>1</v>
      </c>
      <c r="AI112">
        <v>10</v>
      </c>
      <c r="AJ112">
        <v>66</v>
      </c>
      <c r="AK112">
        <v>63</v>
      </c>
      <c r="AL112">
        <v>27</v>
      </c>
      <c r="AM112">
        <v>21</v>
      </c>
      <c r="AO112">
        <v>98</v>
      </c>
      <c r="AP112">
        <v>4</v>
      </c>
      <c r="AQ112">
        <v>24</v>
      </c>
      <c r="AR112">
        <v>69</v>
      </c>
      <c r="AS112">
        <v>1</v>
      </c>
      <c r="AT112">
        <v>17</v>
      </c>
      <c r="AU112">
        <v>26</v>
      </c>
      <c r="AV112">
        <v>27</v>
      </c>
      <c r="AW112">
        <v>72</v>
      </c>
      <c r="AX112">
        <v>21</v>
      </c>
      <c r="AY112">
        <v>27</v>
      </c>
      <c r="AZ112">
        <v>184</v>
      </c>
      <c r="BA112">
        <v>261</v>
      </c>
      <c r="BB112">
        <v>294</v>
      </c>
      <c r="BC112">
        <v>848</v>
      </c>
      <c r="BE112">
        <v>4275</v>
      </c>
      <c r="BF112" s="2">
        <v>1</v>
      </c>
      <c r="BG112">
        <v>4275</v>
      </c>
    </row>
    <row r="113" spans="1:1" x14ac:dyDescent="0.25">
      <c r="A113" t="s">
        <v>12</v>
      </c>
    </row>
    <row r="114" spans="1:1" x14ac:dyDescent="0.25">
      <c r="A1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F002-AF67-47CD-96A8-DDDFDB9D127C}">
  <dimension ref="A1:BH31"/>
  <sheetViews>
    <sheetView tabSelected="1" zoomScale="85" zoomScaleNormal="85" workbookViewId="0">
      <selection activeCell="AC53" sqref="AC53"/>
    </sheetView>
  </sheetViews>
  <sheetFormatPr defaultRowHeight="15" x14ac:dyDescent="0.25"/>
  <cols>
    <col min="1" max="1" width="29.28515625" customWidth="1"/>
  </cols>
  <sheetData>
    <row r="1" spans="1:60" x14ac:dyDescent="0.25">
      <c r="A1" t="s">
        <v>31</v>
      </c>
      <c r="B1">
        <v>1971</v>
      </c>
      <c r="C1">
        <v>1972</v>
      </c>
      <c r="D1">
        <v>1973</v>
      </c>
      <c r="E1">
        <v>1974</v>
      </c>
      <c r="F1">
        <v>1975</v>
      </c>
      <c r="G1">
        <v>1976</v>
      </c>
      <c r="H1">
        <v>1977</v>
      </c>
      <c r="I1">
        <v>1978</v>
      </c>
      <c r="J1">
        <v>1979</v>
      </c>
      <c r="K1">
        <v>1980</v>
      </c>
      <c r="L1">
        <v>1981</v>
      </c>
      <c r="M1">
        <v>1982</v>
      </c>
      <c r="N1">
        <v>1983</v>
      </c>
      <c r="O1">
        <v>1984</v>
      </c>
      <c r="P1">
        <v>1985</v>
      </c>
      <c r="Q1">
        <v>1986</v>
      </c>
      <c r="R1">
        <v>1987</v>
      </c>
      <c r="S1">
        <v>1988</v>
      </c>
      <c r="T1">
        <v>1989</v>
      </c>
      <c r="U1">
        <v>1990</v>
      </c>
      <c r="V1">
        <v>1991</v>
      </c>
      <c r="W1">
        <v>1992</v>
      </c>
      <c r="X1">
        <v>1993</v>
      </c>
      <c r="Y1">
        <v>1994</v>
      </c>
      <c r="Z1">
        <v>1995</v>
      </c>
      <c r="AA1">
        <v>1996</v>
      </c>
      <c r="AB1">
        <v>1997</v>
      </c>
      <c r="AC1">
        <v>1998</v>
      </c>
      <c r="AD1">
        <v>1999</v>
      </c>
      <c r="AE1">
        <v>2000</v>
      </c>
      <c r="AF1">
        <v>2001</v>
      </c>
      <c r="AG1">
        <v>2002</v>
      </c>
      <c r="AH1">
        <v>2003</v>
      </c>
      <c r="AI1">
        <v>2004</v>
      </c>
      <c r="AJ1">
        <v>2005</v>
      </c>
      <c r="AK1">
        <v>2006</v>
      </c>
      <c r="AL1">
        <v>2007</v>
      </c>
      <c r="AM1">
        <v>2008</v>
      </c>
      <c r="AN1">
        <v>2009</v>
      </c>
      <c r="AO1">
        <v>2010</v>
      </c>
      <c r="AP1">
        <v>2011</v>
      </c>
      <c r="AQ1">
        <v>2012</v>
      </c>
      <c r="AR1">
        <v>2013</v>
      </c>
      <c r="AS1">
        <v>2014</v>
      </c>
      <c r="AT1">
        <v>2015</v>
      </c>
      <c r="AU1">
        <v>2016</v>
      </c>
      <c r="AV1">
        <v>2017</v>
      </c>
      <c r="AW1">
        <v>2018</v>
      </c>
      <c r="AX1">
        <v>2019</v>
      </c>
      <c r="AY1">
        <v>2020</v>
      </c>
      <c r="AZ1">
        <v>2021</v>
      </c>
      <c r="BA1">
        <v>2022</v>
      </c>
      <c r="BB1">
        <v>2023</v>
      </c>
      <c r="BC1">
        <v>2024</v>
      </c>
      <c r="BD1">
        <v>2025</v>
      </c>
      <c r="BE1" t="s">
        <v>8</v>
      </c>
      <c r="BF1" t="s">
        <v>9</v>
      </c>
      <c r="BG1" t="s">
        <v>10</v>
      </c>
      <c r="BH1" t="s">
        <v>11</v>
      </c>
    </row>
    <row r="2" spans="1:60" x14ac:dyDescent="0.25">
      <c r="A2" t="s">
        <v>21</v>
      </c>
      <c r="L2">
        <v>1</v>
      </c>
      <c r="M2">
        <v>193</v>
      </c>
      <c r="N2">
        <v>219</v>
      </c>
      <c r="O2">
        <v>180</v>
      </c>
      <c r="P2">
        <v>126</v>
      </c>
      <c r="Q2">
        <v>516</v>
      </c>
      <c r="R2">
        <v>524</v>
      </c>
      <c r="S2">
        <v>184</v>
      </c>
      <c r="T2">
        <v>60</v>
      </c>
      <c r="U2">
        <v>87</v>
      </c>
      <c r="V2">
        <v>96</v>
      </c>
      <c r="W2">
        <v>103</v>
      </c>
      <c r="X2">
        <v>304</v>
      </c>
      <c r="Y2">
        <v>272</v>
      </c>
      <c r="Z2">
        <v>51</v>
      </c>
      <c r="AA2">
        <v>313</v>
      </c>
      <c r="AB2">
        <v>48</v>
      </c>
      <c r="AC2">
        <v>64</v>
      </c>
      <c r="AD2">
        <v>64</v>
      </c>
      <c r="AE2">
        <v>64</v>
      </c>
      <c r="AF2">
        <v>75</v>
      </c>
      <c r="AG2">
        <v>76</v>
      </c>
      <c r="AH2">
        <v>79</v>
      </c>
      <c r="AI2">
        <v>75</v>
      </c>
      <c r="AJ2">
        <v>38</v>
      </c>
      <c r="AK2">
        <v>49</v>
      </c>
      <c r="AL2">
        <v>41</v>
      </c>
      <c r="AM2">
        <v>42</v>
      </c>
      <c r="AN2">
        <v>42</v>
      </c>
      <c r="AO2">
        <v>52</v>
      </c>
      <c r="AP2">
        <v>45</v>
      </c>
      <c r="AQ2">
        <v>28</v>
      </c>
      <c r="AR2">
        <v>10</v>
      </c>
      <c r="AS2">
        <v>10</v>
      </c>
      <c r="AT2">
        <v>7</v>
      </c>
      <c r="BE2">
        <v>4137</v>
      </c>
      <c r="BF2" s="1">
        <v>0.1</v>
      </c>
      <c r="BG2">
        <v>4137</v>
      </c>
      <c r="BH2" s="1">
        <v>0.1</v>
      </c>
    </row>
    <row r="3" spans="1:60" x14ac:dyDescent="0.25">
      <c r="A3" t="s">
        <v>22</v>
      </c>
      <c r="R3">
        <v>225</v>
      </c>
      <c r="S3">
        <v>225</v>
      </c>
      <c r="AM3">
        <v>36</v>
      </c>
      <c r="AN3">
        <v>36</v>
      </c>
      <c r="AT3">
        <v>35</v>
      </c>
      <c r="AU3">
        <v>35</v>
      </c>
      <c r="AV3">
        <v>55</v>
      </c>
      <c r="AW3">
        <v>76</v>
      </c>
      <c r="AX3">
        <v>40</v>
      </c>
      <c r="AY3">
        <v>40</v>
      </c>
      <c r="AZ3">
        <v>65</v>
      </c>
      <c r="BA3">
        <v>20</v>
      </c>
      <c r="BE3">
        <v>888</v>
      </c>
      <c r="BF3" s="1">
        <v>1.2E-2</v>
      </c>
      <c r="BG3">
        <v>888</v>
      </c>
      <c r="BH3" s="1">
        <v>1.2E-2</v>
      </c>
    </row>
    <row r="4" spans="1:60" x14ac:dyDescent="0.25">
      <c r="A4" t="s">
        <v>23</v>
      </c>
      <c r="M4">
        <v>393</v>
      </c>
      <c r="N4">
        <v>592</v>
      </c>
      <c r="O4">
        <v>793</v>
      </c>
      <c r="P4">
        <v>703</v>
      </c>
      <c r="Q4">
        <v>760</v>
      </c>
      <c r="R4">
        <v>831</v>
      </c>
      <c r="S4">
        <v>199</v>
      </c>
      <c r="T4">
        <v>25</v>
      </c>
      <c r="AI4">
        <v>20</v>
      </c>
      <c r="AT4">
        <v>43</v>
      </c>
      <c r="AU4">
        <v>43</v>
      </c>
      <c r="BC4">
        <v>8</v>
      </c>
      <c r="BE4">
        <v>4409</v>
      </c>
      <c r="BF4" s="1">
        <v>8.6999999999999994E-2</v>
      </c>
      <c r="BG4">
        <v>4409</v>
      </c>
      <c r="BH4" s="1">
        <v>8.6999999999999994E-2</v>
      </c>
    </row>
    <row r="5" spans="1:60" x14ac:dyDescent="0.25">
      <c r="A5" t="s">
        <v>24</v>
      </c>
      <c r="AG5">
        <v>4</v>
      </c>
      <c r="AH5">
        <v>18</v>
      </c>
      <c r="BE5">
        <v>21</v>
      </c>
      <c r="BF5" s="1">
        <v>3.0000000000000001E-3</v>
      </c>
      <c r="BG5">
        <v>21</v>
      </c>
      <c r="BH5" s="1">
        <v>3.0000000000000001E-3</v>
      </c>
    </row>
    <row r="6" spans="1:60" x14ac:dyDescent="0.25">
      <c r="A6" t="s">
        <v>25</v>
      </c>
      <c r="AE6">
        <v>34</v>
      </c>
      <c r="AF6">
        <v>17</v>
      </c>
      <c r="AG6">
        <v>22</v>
      </c>
      <c r="AH6">
        <v>23</v>
      </c>
      <c r="BE6">
        <v>96</v>
      </c>
      <c r="BF6" s="1">
        <v>6.0000000000000001E-3</v>
      </c>
      <c r="BG6">
        <v>96</v>
      </c>
      <c r="BH6" s="1">
        <v>6.0000000000000001E-3</v>
      </c>
    </row>
    <row r="7" spans="1:60" x14ac:dyDescent="0.25">
      <c r="A7" t="s">
        <v>26</v>
      </c>
      <c r="AV7">
        <v>29</v>
      </c>
      <c r="AW7">
        <v>88</v>
      </c>
      <c r="BE7">
        <v>118</v>
      </c>
      <c r="BF7" s="1">
        <v>7.0000000000000001E-3</v>
      </c>
      <c r="BG7">
        <v>118</v>
      </c>
      <c r="BH7" s="1">
        <v>7.0000000000000001E-3</v>
      </c>
    </row>
    <row r="8" spans="1:60" x14ac:dyDescent="0.25">
      <c r="A8" t="s">
        <v>27</v>
      </c>
      <c r="X8">
        <v>7</v>
      </c>
      <c r="Y8">
        <v>7</v>
      </c>
      <c r="AR8">
        <v>15</v>
      </c>
      <c r="AS8">
        <v>15</v>
      </c>
      <c r="AT8">
        <v>15</v>
      </c>
      <c r="AU8">
        <v>15</v>
      </c>
      <c r="AV8">
        <v>37</v>
      </c>
      <c r="AW8">
        <v>46</v>
      </c>
      <c r="AX8">
        <v>12</v>
      </c>
      <c r="AY8">
        <v>13</v>
      </c>
      <c r="BE8">
        <v>182</v>
      </c>
      <c r="BF8" s="1">
        <v>6.0000000000000001E-3</v>
      </c>
      <c r="BG8">
        <v>182</v>
      </c>
      <c r="BH8" s="1">
        <v>6.0000000000000001E-3</v>
      </c>
    </row>
    <row r="9" spans="1:60" x14ac:dyDescent="0.25">
      <c r="A9" t="s">
        <v>28</v>
      </c>
      <c r="AU9">
        <v>4</v>
      </c>
      <c r="BE9">
        <v>4</v>
      </c>
      <c r="BF9" s="1">
        <v>1E-3</v>
      </c>
      <c r="BG9">
        <v>4</v>
      </c>
      <c r="BH9" s="1">
        <v>1E-3</v>
      </c>
    </row>
    <row r="10" spans="1:60" x14ac:dyDescent="0.25">
      <c r="A10" t="s">
        <v>29</v>
      </c>
      <c r="B10">
        <f>SUM(B2:B9)</f>
        <v>0</v>
      </c>
      <c r="C10">
        <f>SUM(C2:C9)</f>
        <v>0</v>
      </c>
      <c r="D10">
        <f>SUM(D2:D9)</f>
        <v>0</v>
      </c>
      <c r="E10">
        <f>SUM(E2:E9)</f>
        <v>0</v>
      </c>
      <c r="F10">
        <f>SUM(F2:F9)</f>
        <v>0</v>
      </c>
      <c r="G10">
        <f>SUM(G2:G9)</f>
        <v>0</v>
      </c>
      <c r="H10">
        <f>SUM(H2:H9)</f>
        <v>0</v>
      </c>
      <c r="I10">
        <f>SUM(I2:I9)</f>
        <v>0</v>
      </c>
      <c r="J10">
        <f>SUM(J2:J9)</f>
        <v>0</v>
      </c>
      <c r="K10">
        <f>SUM(K2:K9)</f>
        <v>0</v>
      </c>
      <c r="L10">
        <f>SUM(L2:L9)</f>
        <v>1</v>
      </c>
      <c r="M10">
        <f>SUM(M2:M9)</f>
        <v>586</v>
      </c>
      <c r="N10">
        <f>SUM(N2:N9)</f>
        <v>811</v>
      </c>
      <c r="O10">
        <f>SUM(O2:O9)</f>
        <v>973</v>
      </c>
      <c r="P10">
        <f>SUM(P2:P9)</f>
        <v>829</v>
      </c>
      <c r="Q10">
        <f>SUM(Q2:Q9)</f>
        <v>1276</v>
      </c>
      <c r="R10">
        <f>SUM(R2:R9)</f>
        <v>1580</v>
      </c>
      <c r="S10">
        <f>SUM(S2:S9)</f>
        <v>608</v>
      </c>
      <c r="T10">
        <f>SUM(T2:T9)</f>
        <v>85</v>
      </c>
      <c r="U10">
        <f>SUM(U2:U9)</f>
        <v>87</v>
      </c>
      <c r="V10">
        <f>SUM(V2:V9)</f>
        <v>96</v>
      </c>
      <c r="W10">
        <f>SUM(W2:W9)</f>
        <v>103</v>
      </c>
      <c r="X10">
        <f>SUM(X2:X9)</f>
        <v>311</v>
      </c>
      <c r="Y10">
        <f>SUM(Y2:Y9)</f>
        <v>279</v>
      </c>
      <c r="Z10">
        <f>SUM(Z2:Z9)</f>
        <v>51</v>
      </c>
      <c r="AA10">
        <f>SUM(AA2:AA9)</f>
        <v>313</v>
      </c>
      <c r="AB10">
        <f>SUM(AB2:AB9)</f>
        <v>48</v>
      </c>
      <c r="AC10">
        <f>SUM(AC2:AC9)</f>
        <v>64</v>
      </c>
      <c r="AD10">
        <f>SUM(AD2:AD9)</f>
        <v>64</v>
      </c>
      <c r="AE10">
        <f>SUM(AE2:AE9)</f>
        <v>98</v>
      </c>
      <c r="AF10">
        <f>SUM(AF2:AF9)</f>
        <v>92</v>
      </c>
      <c r="AG10">
        <f>SUM(AG2:AG9)</f>
        <v>102</v>
      </c>
      <c r="AH10">
        <f>SUM(AH2:AH9)</f>
        <v>120</v>
      </c>
      <c r="AI10">
        <f>SUM(AI2:AI9)</f>
        <v>95</v>
      </c>
      <c r="AJ10">
        <f>SUM(AJ2:AJ9)</f>
        <v>38</v>
      </c>
      <c r="AK10">
        <f>SUM(AK2:AK9)</f>
        <v>49</v>
      </c>
      <c r="AL10">
        <f>SUM(AL2:AL9)</f>
        <v>41</v>
      </c>
      <c r="AM10">
        <f>SUM(AM2:AM9)</f>
        <v>78</v>
      </c>
      <c r="AN10">
        <f>SUM(AN2:AN9)</f>
        <v>78</v>
      </c>
      <c r="AO10">
        <f>SUM(AO2:AO9)</f>
        <v>52</v>
      </c>
      <c r="AP10">
        <f>SUM(AP2:AP9)</f>
        <v>45</v>
      </c>
      <c r="AQ10">
        <f>SUM(AQ2:AQ9)</f>
        <v>28</v>
      </c>
      <c r="AR10">
        <f>SUM(AR2:AR9)</f>
        <v>25</v>
      </c>
      <c r="AS10">
        <f>SUM(AS2:AS9)</f>
        <v>25</v>
      </c>
      <c r="AT10">
        <f>SUM(AT2:AT9)</f>
        <v>100</v>
      </c>
      <c r="AU10">
        <f>SUM(AU2:AU9)</f>
        <v>97</v>
      </c>
      <c r="AV10">
        <f>SUM(AV2:AV9)</f>
        <v>121</v>
      </c>
      <c r="AW10">
        <f>SUM(AW2:AW9)</f>
        <v>210</v>
      </c>
      <c r="AX10">
        <f>SUM(AX2:AX9)</f>
        <v>52</v>
      </c>
      <c r="AY10">
        <f>SUM(AY2:AY9)</f>
        <v>53</v>
      </c>
      <c r="AZ10">
        <f>SUM(AZ2:AZ9)</f>
        <v>65</v>
      </c>
      <c r="BA10">
        <f>SUM(BA2:BA9)</f>
        <v>20</v>
      </c>
      <c r="BB10">
        <f>SUM(BB2:BB9)</f>
        <v>0</v>
      </c>
      <c r="BC10">
        <f>SUM(BC2:BC9)</f>
        <v>8</v>
      </c>
    </row>
    <row r="12" spans="1:60" x14ac:dyDescent="0.25">
      <c r="A12" t="s">
        <v>31</v>
      </c>
      <c r="B12">
        <v>1971</v>
      </c>
      <c r="C12">
        <v>1972</v>
      </c>
      <c r="D12">
        <v>1973</v>
      </c>
      <c r="E12">
        <v>1974</v>
      </c>
      <c r="F12">
        <v>1975</v>
      </c>
      <c r="G12">
        <v>1976</v>
      </c>
      <c r="H12">
        <v>1977</v>
      </c>
      <c r="I12">
        <v>1978</v>
      </c>
      <c r="J12">
        <v>1979</v>
      </c>
      <c r="K12">
        <v>1980</v>
      </c>
      <c r="L12">
        <v>1981</v>
      </c>
      <c r="M12">
        <v>1982</v>
      </c>
      <c r="N12">
        <v>1983</v>
      </c>
      <c r="O12">
        <v>1984</v>
      </c>
      <c r="P12">
        <v>1985</v>
      </c>
      <c r="Q12">
        <v>1986</v>
      </c>
      <c r="R12">
        <v>1987</v>
      </c>
      <c r="S12">
        <v>1988</v>
      </c>
      <c r="T12">
        <v>1989</v>
      </c>
      <c r="U12">
        <v>1990</v>
      </c>
      <c r="V12">
        <v>1991</v>
      </c>
      <c r="W12">
        <v>1992</v>
      </c>
      <c r="X12">
        <v>1993</v>
      </c>
      <c r="Y12">
        <v>1994</v>
      </c>
      <c r="Z12">
        <v>1995</v>
      </c>
      <c r="AA12">
        <v>1996</v>
      </c>
      <c r="AB12">
        <v>1997</v>
      </c>
      <c r="AC12">
        <v>1998</v>
      </c>
      <c r="AD12">
        <v>1999</v>
      </c>
      <c r="AE12">
        <v>2000</v>
      </c>
      <c r="AF12">
        <v>2001</v>
      </c>
      <c r="AG12">
        <v>2002</v>
      </c>
      <c r="AH12">
        <v>2003</v>
      </c>
      <c r="AI12">
        <v>2004</v>
      </c>
      <c r="AJ12">
        <v>2005</v>
      </c>
      <c r="AK12">
        <v>2006</v>
      </c>
      <c r="AL12">
        <v>2007</v>
      </c>
      <c r="AM12">
        <v>2008</v>
      </c>
      <c r="AN12">
        <v>2009</v>
      </c>
      <c r="AO12">
        <v>2010</v>
      </c>
      <c r="AP12">
        <v>2011</v>
      </c>
      <c r="AQ12">
        <v>2012</v>
      </c>
      <c r="AR12">
        <v>2013</v>
      </c>
      <c r="AS12">
        <v>2014</v>
      </c>
      <c r="AT12">
        <v>2015</v>
      </c>
      <c r="AU12">
        <v>2016</v>
      </c>
      <c r="AV12">
        <v>2017</v>
      </c>
      <c r="AW12">
        <v>2018</v>
      </c>
      <c r="AX12">
        <v>2019</v>
      </c>
      <c r="AY12">
        <v>2020</v>
      </c>
      <c r="AZ12">
        <v>2021</v>
      </c>
      <c r="BA12">
        <v>2022</v>
      </c>
      <c r="BB12">
        <v>2023</v>
      </c>
      <c r="BC12">
        <v>2024</v>
      </c>
      <c r="BD12">
        <v>2025</v>
      </c>
    </row>
    <row r="13" spans="1:60" x14ac:dyDescent="0.25">
      <c r="A13" t="s">
        <v>21</v>
      </c>
      <c r="B13">
        <f>SUM($B$2:B2)</f>
        <v>0</v>
      </c>
      <c r="C13">
        <f>SUM($B$2:C2)</f>
        <v>0</v>
      </c>
      <c r="D13">
        <f>SUM($B$2:D2)</f>
        <v>0</v>
      </c>
      <c r="E13">
        <f>SUM($B$2:E2)</f>
        <v>0</v>
      </c>
      <c r="F13">
        <f>SUM($B$2:F2)</f>
        <v>0</v>
      </c>
      <c r="G13">
        <f>SUM($B$2:G2)</f>
        <v>0</v>
      </c>
      <c r="H13">
        <f>SUM($B$2:H2)</f>
        <v>0</v>
      </c>
      <c r="I13">
        <f>SUM($B$2:I2)</f>
        <v>0</v>
      </c>
      <c r="J13">
        <f>SUM($B$2:J2)</f>
        <v>0</v>
      </c>
      <c r="K13">
        <f>SUM($B$2:K2)</f>
        <v>0</v>
      </c>
      <c r="L13">
        <f>SUM($B$2:L2)</f>
        <v>1</v>
      </c>
      <c r="M13">
        <f>SUM($B$2:M2)</f>
        <v>194</v>
      </c>
      <c r="N13">
        <f>SUM($B$2:N2)</f>
        <v>413</v>
      </c>
      <c r="O13">
        <f>SUM($B$2:O2)</f>
        <v>593</v>
      </c>
      <c r="P13">
        <f>SUM($B$2:P2)</f>
        <v>719</v>
      </c>
      <c r="Q13">
        <f>SUM($B$2:Q2)</f>
        <v>1235</v>
      </c>
      <c r="R13">
        <f>SUM($B$2:R2)</f>
        <v>1759</v>
      </c>
      <c r="S13">
        <f>SUM($B$2:S2)</f>
        <v>1943</v>
      </c>
      <c r="T13">
        <f>SUM($B$2:T2)</f>
        <v>2003</v>
      </c>
      <c r="U13">
        <f>SUM($B$2:U2)</f>
        <v>2090</v>
      </c>
      <c r="V13">
        <f>SUM($B$2:V2)</f>
        <v>2186</v>
      </c>
      <c r="W13">
        <f>SUM($B$2:W2)</f>
        <v>2289</v>
      </c>
      <c r="X13">
        <f>SUM($B$2:X2)</f>
        <v>2593</v>
      </c>
      <c r="Y13">
        <f>SUM($B$2:Y2)</f>
        <v>2865</v>
      </c>
      <c r="Z13">
        <f>SUM($B$2:Z2)</f>
        <v>2916</v>
      </c>
      <c r="AA13">
        <f>SUM($B$2:AA2)</f>
        <v>3229</v>
      </c>
      <c r="AB13">
        <f>SUM($B$2:AB2)</f>
        <v>3277</v>
      </c>
      <c r="AC13">
        <f>SUM($B$2:AC2)</f>
        <v>3341</v>
      </c>
      <c r="AD13">
        <f>SUM($B$2:AD2)</f>
        <v>3405</v>
      </c>
      <c r="AE13">
        <f>SUM($B$2:AE2)</f>
        <v>3469</v>
      </c>
      <c r="AF13">
        <f>SUM($B$2:AF2)</f>
        <v>3544</v>
      </c>
      <c r="AG13">
        <f>SUM($B$2:AG2)</f>
        <v>3620</v>
      </c>
      <c r="AH13">
        <f>SUM($B$2:AH2)</f>
        <v>3699</v>
      </c>
      <c r="AI13">
        <f>SUM($B$2:AI2)</f>
        <v>3774</v>
      </c>
      <c r="AJ13">
        <f>SUM($B$2:AJ2)</f>
        <v>3812</v>
      </c>
      <c r="AK13">
        <f>SUM($B$2:AK2)</f>
        <v>3861</v>
      </c>
      <c r="AL13">
        <f>SUM($B$2:AL2)</f>
        <v>3902</v>
      </c>
      <c r="AM13">
        <f>SUM($B$2:AM2)</f>
        <v>3944</v>
      </c>
      <c r="AN13">
        <f>SUM($B$2:AN2)</f>
        <v>3986</v>
      </c>
      <c r="AO13">
        <f>SUM($B$2:AO2)</f>
        <v>4038</v>
      </c>
      <c r="AP13">
        <f>SUM($B$2:AP2)</f>
        <v>4083</v>
      </c>
      <c r="AQ13">
        <f>SUM($B$2:AQ2)</f>
        <v>4111</v>
      </c>
      <c r="AR13">
        <f>SUM($B$2:AR2)</f>
        <v>4121</v>
      </c>
      <c r="AS13">
        <f>SUM($B$2:AS2)</f>
        <v>4131</v>
      </c>
      <c r="AT13">
        <f>SUM($B$2:AT2)</f>
        <v>4138</v>
      </c>
      <c r="AU13">
        <f>SUM($B$2:AU2)</f>
        <v>4138</v>
      </c>
      <c r="AV13">
        <f>SUM($B$2:AV2)</f>
        <v>4138</v>
      </c>
      <c r="AW13">
        <f>SUM($B$2:AW2)</f>
        <v>4138</v>
      </c>
      <c r="AX13">
        <f>SUM($B$2:AX2)</f>
        <v>4138</v>
      </c>
      <c r="AY13">
        <f>SUM($B$2:AY2)</f>
        <v>4138</v>
      </c>
      <c r="AZ13">
        <f>SUM($B$2:AZ2)</f>
        <v>4138</v>
      </c>
      <c r="BA13">
        <f>SUM($B$2:BA2)</f>
        <v>4138</v>
      </c>
      <c r="BB13">
        <f>SUM($B$2:BB2)</f>
        <v>4138</v>
      </c>
      <c r="BC13">
        <f>SUM($B$2:BC2)</f>
        <v>4138</v>
      </c>
      <c r="BD13">
        <f>SUM($B$2:BD2)</f>
        <v>4138</v>
      </c>
      <c r="BF13" s="1"/>
      <c r="BH13" s="1"/>
    </row>
    <row r="14" spans="1:60" x14ac:dyDescent="0.25">
      <c r="A14" t="s">
        <v>22</v>
      </c>
      <c r="B14">
        <f>SUM($B$3:B3)</f>
        <v>0</v>
      </c>
      <c r="C14">
        <f>SUM($B$3:C3)</f>
        <v>0</v>
      </c>
      <c r="D14">
        <f>SUM($B$3:D3)</f>
        <v>0</v>
      </c>
      <c r="E14">
        <f>SUM($B$3:E3)</f>
        <v>0</v>
      </c>
      <c r="F14">
        <f>SUM($B$3:F3)</f>
        <v>0</v>
      </c>
      <c r="G14">
        <f>SUM($B$3:G3)</f>
        <v>0</v>
      </c>
      <c r="H14">
        <f>SUM($B$3:H3)</f>
        <v>0</v>
      </c>
      <c r="I14">
        <f>SUM($B$3:I3)</f>
        <v>0</v>
      </c>
      <c r="J14">
        <f>SUM($B$3:J3)</f>
        <v>0</v>
      </c>
      <c r="K14">
        <f>SUM($B$3:K3)</f>
        <v>0</v>
      </c>
      <c r="L14">
        <f>SUM($B$3:L3)</f>
        <v>0</v>
      </c>
      <c r="M14">
        <f>SUM($B$3:M3)</f>
        <v>0</v>
      </c>
      <c r="N14">
        <f>SUM($B$3:N3)</f>
        <v>0</v>
      </c>
      <c r="O14">
        <f>SUM($B$3:O3)</f>
        <v>0</v>
      </c>
      <c r="P14">
        <f>SUM($B$3:P3)</f>
        <v>0</v>
      </c>
      <c r="Q14">
        <f>SUM($B$3:Q3)</f>
        <v>0</v>
      </c>
      <c r="R14">
        <f>SUM($B$3:R3)</f>
        <v>225</v>
      </c>
      <c r="S14">
        <f>SUM($B$3:S3)</f>
        <v>450</v>
      </c>
      <c r="T14">
        <f>SUM($B$3:T3)</f>
        <v>450</v>
      </c>
      <c r="U14">
        <f>SUM($B$3:U3)</f>
        <v>450</v>
      </c>
      <c r="V14">
        <f>SUM($B$3:V3)</f>
        <v>450</v>
      </c>
      <c r="W14">
        <f>SUM($B$3:W3)</f>
        <v>450</v>
      </c>
      <c r="X14">
        <f>SUM($B$3:X3)</f>
        <v>450</v>
      </c>
      <c r="Y14">
        <f>SUM($B$3:Y3)</f>
        <v>450</v>
      </c>
      <c r="Z14">
        <f>SUM($B$3:Z3)</f>
        <v>450</v>
      </c>
      <c r="AA14">
        <f>SUM($B$3:AA3)</f>
        <v>450</v>
      </c>
      <c r="AB14">
        <f>SUM($B$3:AB3)</f>
        <v>450</v>
      </c>
      <c r="AC14">
        <f>SUM($B$3:AC3)</f>
        <v>450</v>
      </c>
      <c r="AD14">
        <f>SUM($B$3:AD3)</f>
        <v>450</v>
      </c>
      <c r="AE14">
        <f>SUM($B$3:AE3)</f>
        <v>450</v>
      </c>
      <c r="AF14">
        <f>SUM($B$3:AF3)</f>
        <v>450</v>
      </c>
      <c r="AG14">
        <f>SUM($B$3:AG3)</f>
        <v>450</v>
      </c>
      <c r="AH14">
        <f>SUM($B$3:AH3)</f>
        <v>450</v>
      </c>
      <c r="AI14">
        <f>SUM($B$3:AI3)</f>
        <v>450</v>
      </c>
      <c r="AJ14">
        <f>SUM($B$3:AJ3)</f>
        <v>450</v>
      </c>
      <c r="AK14">
        <f>SUM($B$3:AK3)</f>
        <v>450</v>
      </c>
      <c r="AL14">
        <f>SUM($B$3:AL3)</f>
        <v>450</v>
      </c>
      <c r="AM14">
        <f>SUM($B$3:AM3)</f>
        <v>486</v>
      </c>
      <c r="AN14">
        <f>SUM($B$3:AN3)</f>
        <v>522</v>
      </c>
      <c r="AO14">
        <f>SUM($B$3:AO3)</f>
        <v>522</v>
      </c>
      <c r="AP14">
        <f>SUM($B$3:AP3)</f>
        <v>522</v>
      </c>
      <c r="AQ14">
        <f>SUM($B$3:AQ3)</f>
        <v>522</v>
      </c>
      <c r="AR14">
        <f>SUM($B$3:AR3)</f>
        <v>522</v>
      </c>
      <c r="AS14">
        <f>SUM($B$3:AS3)</f>
        <v>522</v>
      </c>
      <c r="AT14">
        <f>SUM($B$3:AT3)</f>
        <v>557</v>
      </c>
      <c r="AU14">
        <f>SUM($B$3:AU3)</f>
        <v>592</v>
      </c>
      <c r="AV14">
        <f>SUM($B$3:AV3)</f>
        <v>647</v>
      </c>
      <c r="AW14">
        <f>SUM($B$3:AW3)</f>
        <v>723</v>
      </c>
      <c r="AX14">
        <f>SUM($B$3:AX3)</f>
        <v>763</v>
      </c>
      <c r="AY14">
        <f>SUM($B$3:AY3)</f>
        <v>803</v>
      </c>
      <c r="AZ14">
        <f>SUM($B$3:AZ3)</f>
        <v>868</v>
      </c>
      <c r="BA14">
        <f>SUM($B$3:BA3)</f>
        <v>888</v>
      </c>
      <c r="BB14">
        <f>SUM($B$3:BB3)</f>
        <v>888</v>
      </c>
      <c r="BC14">
        <f>SUM($B$3:BC3)</f>
        <v>888</v>
      </c>
      <c r="BD14">
        <f>SUM($B$3:BD3)</f>
        <v>888</v>
      </c>
      <c r="BF14" s="1"/>
      <c r="BH14" s="1"/>
    </row>
    <row r="15" spans="1:60" x14ac:dyDescent="0.25">
      <c r="A15" t="s">
        <v>23</v>
      </c>
      <c r="B15">
        <f>SUM($B$4:B4)</f>
        <v>0</v>
      </c>
      <c r="C15">
        <f>SUM($B$4:C4)</f>
        <v>0</v>
      </c>
      <c r="D15">
        <f>SUM($B$4:D4)</f>
        <v>0</v>
      </c>
      <c r="E15">
        <f>SUM($B$4:E4)</f>
        <v>0</v>
      </c>
      <c r="F15">
        <f>SUM($B$4:F4)</f>
        <v>0</v>
      </c>
      <c r="G15">
        <f>SUM($B$4:G4)</f>
        <v>0</v>
      </c>
      <c r="H15">
        <f>SUM($B$4:H4)</f>
        <v>0</v>
      </c>
      <c r="I15">
        <f>SUM($B$4:I4)</f>
        <v>0</v>
      </c>
      <c r="J15">
        <f>SUM($B$4:J4)</f>
        <v>0</v>
      </c>
      <c r="K15">
        <f>SUM($B$4:K4)</f>
        <v>0</v>
      </c>
      <c r="L15">
        <f>SUM($B$4:L4)</f>
        <v>0</v>
      </c>
      <c r="M15">
        <f>SUM($B$4:M4)</f>
        <v>393</v>
      </c>
      <c r="N15">
        <f>SUM($B$4:N4)</f>
        <v>985</v>
      </c>
      <c r="O15">
        <f>SUM($B$4:O4)</f>
        <v>1778</v>
      </c>
      <c r="P15">
        <f>SUM($B$4:P4)</f>
        <v>2481</v>
      </c>
      <c r="Q15">
        <f>SUM($B$4:Q4)</f>
        <v>3241</v>
      </c>
      <c r="R15">
        <f>SUM($B$4:R4)</f>
        <v>4072</v>
      </c>
      <c r="S15">
        <f>SUM($B$4:S4)</f>
        <v>4271</v>
      </c>
      <c r="T15">
        <f>SUM($B$4:T4)</f>
        <v>4296</v>
      </c>
      <c r="U15">
        <f>SUM($B$4:U4)</f>
        <v>4296</v>
      </c>
      <c r="V15">
        <f>SUM($B$4:V4)</f>
        <v>4296</v>
      </c>
      <c r="W15">
        <f>SUM($B$4:W4)</f>
        <v>4296</v>
      </c>
      <c r="X15">
        <f>SUM($B$4:X4)</f>
        <v>4296</v>
      </c>
      <c r="Y15">
        <f>SUM($B$4:Y4)</f>
        <v>4296</v>
      </c>
      <c r="Z15">
        <f>SUM($B$4:Z4)</f>
        <v>4296</v>
      </c>
      <c r="AA15">
        <f>SUM($B$4:AA4)</f>
        <v>4296</v>
      </c>
      <c r="AB15">
        <f>SUM($B$4:AB4)</f>
        <v>4296</v>
      </c>
      <c r="AC15">
        <f>SUM($B$4:AC4)</f>
        <v>4296</v>
      </c>
      <c r="AD15">
        <f>SUM($B$4:AD4)</f>
        <v>4296</v>
      </c>
      <c r="AE15">
        <f>SUM($B$4:AE4)</f>
        <v>4296</v>
      </c>
      <c r="AF15">
        <f>SUM($B$4:AF4)</f>
        <v>4296</v>
      </c>
      <c r="AG15">
        <f>SUM($B$4:AG4)</f>
        <v>4296</v>
      </c>
      <c r="AH15">
        <f>SUM($B$4:AH4)</f>
        <v>4296</v>
      </c>
      <c r="AI15">
        <f>SUM($B$4:AI4)</f>
        <v>4316</v>
      </c>
      <c r="AJ15">
        <f>SUM($B$4:AJ4)</f>
        <v>4316</v>
      </c>
      <c r="AK15">
        <f>SUM($B$4:AK4)</f>
        <v>4316</v>
      </c>
      <c r="AL15">
        <f>SUM($B$4:AL4)</f>
        <v>4316</v>
      </c>
      <c r="AM15">
        <f>SUM($B$4:AM4)</f>
        <v>4316</v>
      </c>
      <c r="AN15">
        <f>SUM($B$4:AN4)</f>
        <v>4316</v>
      </c>
      <c r="AO15">
        <f>SUM($B$4:AO4)</f>
        <v>4316</v>
      </c>
      <c r="AP15">
        <f>SUM($B$4:AP4)</f>
        <v>4316</v>
      </c>
      <c r="AQ15">
        <f>SUM($B$4:AQ4)</f>
        <v>4316</v>
      </c>
      <c r="AR15">
        <f>SUM($B$4:AR4)</f>
        <v>4316</v>
      </c>
      <c r="AS15">
        <f>SUM($B$4:AS4)</f>
        <v>4316</v>
      </c>
      <c r="AT15">
        <f>SUM($B$4:AT4)</f>
        <v>4359</v>
      </c>
      <c r="AU15">
        <f>SUM($B$4:AU4)</f>
        <v>4402</v>
      </c>
      <c r="AV15">
        <f>SUM($B$4:AV4)</f>
        <v>4402</v>
      </c>
      <c r="AW15">
        <f>SUM($B$4:AW4)</f>
        <v>4402</v>
      </c>
      <c r="AX15">
        <f>SUM($B$4:AX4)</f>
        <v>4402</v>
      </c>
      <c r="AY15">
        <f>SUM($B$4:AY4)</f>
        <v>4402</v>
      </c>
      <c r="AZ15">
        <f>SUM($B$4:AZ4)</f>
        <v>4402</v>
      </c>
      <c r="BA15">
        <f>SUM($B$4:BA4)</f>
        <v>4402</v>
      </c>
      <c r="BB15">
        <f>SUM($B$4:BB4)</f>
        <v>4402</v>
      </c>
      <c r="BC15">
        <f>SUM($B$4:BC4)</f>
        <v>4410</v>
      </c>
      <c r="BD15">
        <f>SUM($B$4:BD4)</f>
        <v>4410</v>
      </c>
      <c r="BF15" s="1"/>
      <c r="BH15" s="1"/>
    </row>
    <row r="16" spans="1:60" x14ac:dyDescent="0.25">
      <c r="A16" t="s">
        <v>24</v>
      </c>
      <c r="B16">
        <f>SUM($B$5:B5)</f>
        <v>0</v>
      </c>
      <c r="C16">
        <f>SUM($B$5:C5)</f>
        <v>0</v>
      </c>
      <c r="D16">
        <f>SUM($B$5:D5)</f>
        <v>0</v>
      </c>
      <c r="E16">
        <f>SUM($B$5:E5)</f>
        <v>0</v>
      </c>
      <c r="F16">
        <f>SUM($B$5:F5)</f>
        <v>0</v>
      </c>
      <c r="G16">
        <f>SUM($B$5:G5)</f>
        <v>0</v>
      </c>
      <c r="H16">
        <f>SUM($B$5:H5)</f>
        <v>0</v>
      </c>
      <c r="I16">
        <f>SUM($B$5:I5)</f>
        <v>0</v>
      </c>
      <c r="J16">
        <f>SUM($B$5:J5)</f>
        <v>0</v>
      </c>
      <c r="K16">
        <f>SUM($B$5:K5)</f>
        <v>0</v>
      </c>
      <c r="L16">
        <f>SUM($B$5:L5)</f>
        <v>0</v>
      </c>
      <c r="M16">
        <f>SUM($B$5:M5)</f>
        <v>0</v>
      </c>
      <c r="N16">
        <f>SUM($B$5:N5)</f>
        <v>0</v>
      </c>
      <c r="O16">
        <f>SUM($B$5:O5)</f>
        <v>0</v>
      </c>
      <c r="P16">
        <f>SUM($B$5:P5)</f>
        <v>0</v>
      </c>
      <c r="Q16">
        <f>SUM($B$5:Q5)</f>
        <v>0</v>
      </c>
      <c r="R16">
        <f>SUM($B$5:R5)</f>
        <v>0</v>
      </c>
      <c r="S16">
        <f>SUM($B$5:S5)</f>
        <v>0</v>
      </c>
      <c r="T16">
        <f>SUM($B$5:T5)</f>
        <v>0</v>
      </c>
      <c r="U16">
        <f>SUM($B$5:U5)</f>
        <v>0</v>
      </c>
      <c r="V16">
        <f>SUM($B$5:V5)</f>
        <v>0</v>
      </c>
      <c r="W16">
        <f>SUM($B$5:W5)</f>
        <v>0</v>
      </c>
      <c r="X16">
        <f>SUM($B$5:X5)</f>
        <v>0</v>
      </c>
      <c r="Y16">
        <f>SUM($B$5:Y5)</f>
        <v>0</v>
      </c>
      <c r="Z16">
        <f>SUM($B$5:Z5)</f>
        <v>0</v>
      </c>
      <c r="AA16">
        <f>SUM($B$5:AA5)</f>
        <v>0</v>
      </c>
      <c r="AB16">
        <f>SUM($B$5:AB5)</f>
        <v>0</v>
      </c>
      <c r="AC16">
        <f>SUM($B$5:AC5)</f>
        <v>0</v>
      </c>
      <c r="AD16">
        <f>SUM($B$5:AD5)</f>
        <v>0</v>
      </c>
      <c r="AE16">
        <f>SUM($B$5:AE5)</f>
        <v>0</v>
      </c>
      <c r="AF16">
        <f>SUM($B$5:AF5)</f>
        <v>0</v>
      </c>
      <c r="AG16">
        <f>SUM($B$5:AG5)</f>
        <v>4</v>
      </c>
      <c r="AH16">
        <f>SUM($B$5:AH5)</f>
        <v>22</v>
      </c>
      <c r="AI16">
        <f>SUM($B$5:AI5)</f>
        <v>22</v>
      </c>
      <c r="AJ16">
        <f>SUM($B$5:AJ5)</f>
        <v>22</v>
      </c>
      <c r="AK16">
        <f>SUM($B$5:AK5)</f>
        <v>22</v>
      </c>
      <c r="AL16">
        <f>SUM($B$5:AL5)</f>
        <v>22</v>
      </c>
      <c r="AM16">
        <f>SUM($B$5:AM5)</f>
        <v>22</v>
      </c>
      <c r="AN16">
        <f>SUM($B$5:AN5)</f>
        <v>22</v>
      </c>
      <c r="AO16">
        <f>SUM($B$5:AO5)</f>
        <v>22</v>
      </c>
      <c r="AP16">
        <f>SUM($B$5:AP5)</f>
        <v>22</v>
      </c>
      <c r="AQ16">
        <f>SUM($B$5:AQ5)</f>
        <v>22</v>
      </c>
      <c r="AR16">
        <f>SUM($B$5:AR5)</f>
        <v>22</v>
      </c>
      <c r="AS16">
        <f>SUM($B$5:AS5)</f>
        <v>22</v>
      </c>
      <c r="AT16">
        <f>SUM($B$5:AT5)</f>
        <v>22</v>
      </c>
      <c r="AU16">
        <f>SUM($B$5:AU5)</f>
        <v>22</v>
      </c>
      <c r="AV16">
        <f>SUM($B$5:AV5)</f>
        <v>22</v>
      </c>
      <c r="AW16">
        <f>SUM($B$5:AW5)</f>
        <v>22</v>
      </c>
      <c r="AX16">
        <f>SUM($B$5:AX5)</f>
        <v>22</v>
      </c>
      <c r="AY16">
        <f>SUM($B$5:AY5)</f>
        <v>22</v>
      </c>
      <c r="AZ16">
        <f>SUM($B$5:AZ5)</f>
        <v>22</v>
      </c>
      <c r="BA16">
        <f>SUM($B$5:BA5)</f>
        <v>22</v>
      </c>
      <c r="BB16">
        <f>SUM($B$5:BB5)</f>
        <v>22</v>
      </c>
      <c r="BC16">
        <f>SUM($B$5:BC5)</f>
        <v>22</v>
      </c>
      <c r="BD16">
        <f>SUM($B$5:BD5)</f>
        <v>22</v>
      </c>
      <c r="BF16" s="1"/>
      <c r="BH16" s="1"/>
    </row>
    <row r="17" spans="1:60" x14ac:dyDescent="0.25">
      <c r="A17" t="s">
        <v>25</v>
      </c>
      <c r="B17">
        <f>SUM($B$6:B6)</f>
        <v>0</v>
      </c>
      <c r="C17">
        <f>SUM($B$6:C6)</f>
        <v>0</v>
      </c>
      <c r="D17">
        <f>SUM($B$6:D6)</f>
        <v>0</v>
      </c>
      <c r="E17">
        <f>SUM($B$6:E6)</f>
        <v>0</v>
      </c>
      <c r="F17">
        <f>SUM($B$6:F6)</f>
        <v>0</v>
      </c>
      <c r="G17">
        <f>SUM($B$6:G6)</f>
        <v>0</v>
      </c>
      <c r="H17">
        <f>SUM($B$6:H6)</f>
        <v>0</v>
      </c>
      <c r="I17">
        <f>SUM($B$6:I6)</f>
        <v>0</v>
      </c>
      <c r="J17">
        <f>SUM($B$6:J6)</f>
        <v>0</v>
      </c>
      <c r="K17">
        <f>SUM($B$6:K6)</f>
        <v>0</v>
      </c>
      <c r="L17">
        <f>SUM($B$6:L6)</f>
        <v>0</v>
      </c>
      <c r="M17">
        <f>SUM($B$6:M6)</f>
        <v>0</v>
      </c>
      <c r="N17">
        <f>SUM($B$6:N6)</f>
        <v>0</v>
      </c>
      <c r="O17">
        <f>SUM($B$6:O6)</f>
        <v>0</v>
      </c>
      <c r="P17">
        <f>SUM($B$6:P6)</f>
        <v>0</v>
      </c>
      <c r="Q17">
        <f>SUM($B$6:Q6)</f>
        <v>0</v>
      </c>
      <c r="R17">
        <f>SUM($B$6:R6)</f>
        <v>0</v>
      </c>
      <c r="S17">
        <f>SUM($B$6:S6)</f>
        <v>0</v>
      </c>
      <c r="T17">
        <f>SUM($B$6:T6)</f>
        <v>0</v>
      </c>
      <c r="U17">
        <f>SUM($B$6:U6)</f>
        <v>0</v>
      </c>
      <c r="V17">
        <f>SUM($B$6:V6)</f>
        <v>0</v>
      </c>
      <c r="W17">
        <f>SUM($B$6:W6)</f>
        <v>0</v>
      </c>
      <c r="X17">
        <f>SUM($B$6:X6)</f>
        <v>0</v>
      </c>
      <c r="Y17">
        <f>SUM($B$6:Y6)</f>
        <v>0</v>
      </c>
      <c r="Z17">
        <f>SUM($B$6:Z6)</f>
        <v>0</v>
      </c>
      <c r="AA17">
        <f>SUM($B$6:AA6)</f>
        <v>0</v>
      </c>
      <c r="AB17">
        <f>SUM($B$6:AB6)</f>
        <v>0</v>
      </c>
      <c r="AC17">
        <f>SUM($B$6:AC6)</f>
        <v>0</v>
      </c>
      <c r="AD17">
        <f>SUM($B$6:AD6)</f>
        <v>0</v>
      </c>
      <c r="AE17">
        <f>SUM($B$6:AE6)</f>
        <v>34</v>
      </c>
      <c r="AF17">
        <f>SUM($B$6:AF6)</f>
        <v>51</v>
      </c>
      <c r="AG17">
        <f>SUM($B$6:AG6)</f>
        <v>73</v>
      </c>
      <c r="AH17">
        <f>SUM($B$6:AH6)</f>
        <v>96</v>
      </c>
      <c r="AI17">
        <f>SUM($B$6:AI6)</f>
        <v>96</v>
      </c>
      <c r="AJ17">
        <f>SUM($B$6:AJ6)</f>
        <v>96</v>
      </c>
      <c r="AK17">
        <f>SUM($B$6:AK6)</f>
        <v>96</v>
      </c>
      <c r="AL17">
        <f>SUM($B$6:AL6)</f>
        <v>96</v>
      </c>
      <c r="AM17">
        <f>SUM($B$6:AM6)</f>
        <v>96</v>
      </c>
      <c r="AN17">
        <f>SUM($B$6:AN6)</f>
        <v>96</v>
      </c>
      <c r="AO17">
        <f>SUM($B$6:AO6)</f>
        <v>96</v>
      </c>
      <c r="AP17">
        <f>SUM($B$6:AP6)</f>
        <v>96</v>
      </c>
      <c r="AQ17">
        <f>SUM($B$6:AQ6)</f>
        <v>96</v>
      </c>
      <c r="AR17">
        <f>SUM($B$6:AR6)</f>
        <v>96</v>
      </c>
      <c r="AS17">
        <f>SUM($B$6:AS6)</f>
        <v>96</v>
      </c>
      <c r="AT17">
        <f>SUM($B$6:AT6)</f>
        <v>96</v>
      </c>
      <c r="AU17">
        <f>SUM($B$6:AU6)</f>
        <v>96</v>
      </c>
      <c r="AV17">
        <f>SUM($B$6:AV6)</f>
        <v>96</v>
      </c>
      <c r="AW17">
        <f>SUM($B$6:AW6)</f>
        <v>96</v>
      </c>
      <c r="AX17">
        <f>SUM($B$6:AX6)</f>
        <v>96</v>
      </c>
      <c r="AY17">
        <f>SUM($B$6:AY6)</f>
        <v>96</v>
      </c>
      <c r="AZ17">
        <f>SUM($B$6:AZ6)</f>
        <v>96</v>
      </c>
      <c r="BA17">
        <f>SUM($B$6:BA6)</f>
        <v>96</v>
      </c>
      <c r="BB17">
        <f>SUM($B$6:BB6)</f>
        <v>96</v>
      </c>
      <c r="BC17">
        <f>SUM($B$6:BC6)</f>
        <v>96</v>
      </c>
      <c r="BD17">
        <f>SUM($B$6:BD6)</f>
        <v>96</v>
      </c>
      <c r="BF17" s="1"/>
      <c r="BH17" s="1"/>
    </row>
    <row r="18" spans="1:60" x14ac:dyDescent="0.25">
      <c r="A18" t="s">
        <v>26</v>
      </c>
      <c r="B18">
        <f>SUM($B$7:B7)</f>
        <v>0</v>
      </c>
      <c r="C18">
        <f>SUM($B$7:C7)</f>
        <v>0</v>
      </c>
      <c r="D18">
        <f>SUM($B$7:D7)</f>
        <v>0</v>
      </c>
      <c r="E18">
        <f>SUM($B$7:E7)</f>
        <v>0</v>
      </c>
      <c r="F18">
        <f>SUM($B$7:F7)</f>
        <v>0</v>
      </c>
      <c r="G18">
        <f>SUM($B$7:G7)</f>
        <v>0</v>
      </c>
      <c r="H18">
        <f>SUM($B$7:H7)</f>
        <v>0</v>
      </c>
      <c r="I18">
        <f>SUM($B$7:I7)</f>
        <v>0</v>
      </c>
      <c r="J18">
        <f>SUM($B$7:J7)</f>
        <v>0</v>
      </c>
      <c r="K18">
        <f>SUM($B$7:K7)</f>
        <v>0</v>
      </c>
      <c r="L18">
        <f>SUM($B$7:L7)</f>
        <v>0</v>
      </c>
      <c r="M18">
        <f>SUM($B$7:M7)</f>
        <v>0</v>
      </c>
      <c r="N18">
        <f>SUM($B$7:N7)</f>
        <v>0</v>
      </c>
      <c r="O18">
        <f>SUM($B$7:O7)</f>
        <v>0</v>
      </c>
      <c r="P18">
        <f>SUM($B$7:P7)</f>
        <v>0</v>
      </c>
      <c r="Q18">
        <f>SUM($B$7:Q7)</f>
        <v>0</v>
      </c>
      <c r="R18">
        <f>SUM($B$7:R7)</f>
        <v>0</v>
      </c>
      <c r="S18">
        <f>SUM($B$7:S7)</f>
        <v>0</v>
      </c>
      <c r="T18">
        <f>SUM($B$7:T7)</f>
        <v>0</v>
      </c>
      <c r="U18">
        <f>SUM($B$7:U7)</f>
        <v>0</v>
      </c>
      <c r="V18">
        <f>SUM($B$7:V7)</f>
        <v>0</v>
      </c>
      <c r="W18">
        <f>SUM($B$7:W7)</f>
        <v>0</v>
      </c>
      <c r="X18">
        <f>SUM($B$7:X7)</f>
        <v>0</v>
      </c>
      <c r="Y18">
        <f>SUM($B$7:Y7)</f>
        <v>0</v>
      </c>
      <c r="Z18">
        <f>SUM($B$7:Z7)</f>
        <v>0</v>
      </c>
      <c r="AA18">
        <f>SUM($B$7:AA7)</f>
        <v>0</v>
      </c>
      <c r="AB18">
        <f>SUM($B$7:AB7)</f>
        <v>0</v>
      </c>
      <c r="AC18">
        <f>SUM($B$7:AC7)</f>
        <v>0</v>
      </c>
      <c r="AD18">
        <f>SUM($B$7:AD7)</f>
        <v>0</v>
      </c>
      <c r="AE18">
        <f>SUM($B$7:AE7)</f>
        <v>0</v>
      </c>
      <c r="AF18">
        <f>SUM($B$7:AF7)</f>
        <v>0</v>
      </c>
      <c r="AG18">
        <f>SUM($B$7:AG7)</f>
        <v>0</v>
      </c>
      <c r="AH18">
        <f>SUM($B$7:AH7)</f>
        <v>0</v>
      </c>
      <c r="AI18">
        <f>SUM($B$7:AI7)</f>
        <v>0</v>
      </c>
      <c r="AJ18">
        <f>SUM($B$7:AJ7)</f>
        <v>0</v>
      </c>
      <c r="AK18">
        <f>SUM($B$7:AK7)</f>
        <v>0</v>
      </c>
      <c r="AL18">
        <f>SUM($B$7:AL7)</f>
        <v>0</v>
      </c>
      <c r="AM18">
        <f>SUM($B$7:AM7)</f>
        <v>0</v>
      </c>
      <c r="AN18">
        <f>SUM($B$7:AN7)</f>
        <v>0</v>
      </c>
      <c r="AO18">
        <f>SUM($B$7:AO7)</f>
        <v>0</v>
      </c>
      <c r="AP18">
        <f>SUM($B$7:AP7)</f>
        <v>0</v>
      </c>
      <c r="AQ18">
        <f>SUM($B$7:AQ7)</f>
        <v>0</v>
      </c>
      <c r="AR18">
        <f>SUM($B$7:AR7)</f>
        <v>0</v>
      </c>
      <c r="AS18">
        <f>SUM($B$7:AS7)</f>
        <v>0</v>
      </c>
      <c r="AT18">
        <f>SUM($B$7:AT7)</f>
        <v>0</v>
      </c>
      <c r="AU18">
        <f>SUM($B$7:AU7)</f>
        <v>0</v>
      </c>
      <c r="AV18">
        <f>SUM($B$7:AV7)</f>
        <v>29</v>
      </c>
      <c r="AW18">
        <f>SUM($B$7:AW7)</f>
        <v>117</v>
      </c>
      <c r="AX18">
        <f>SUM($B$7:AX7)</f>
        <v>117</v>
      </c>
      <c r="AY18">
        <f>SUM($B$7:AY7)</f>
        <v>117</v>
      </c>
      <c r="AZ18">
        <f>SUM($B$7:AZ7)</f>
        <v>117</v>
      </c>
      <c r="BA18">
        <f>SUM($B$7:BA7)</f>
        <v>117</v>
      </c>
      <c r="BB18">
        <f>SUM($B$7:BB7)</f>
        <v>117</v>
      </c>
      <c r="BC18">
        <f>SUM($B$7:BC7)</f>
        <v>117</v>
      </c>
      <c r="BD18">
        <f>SUM($B$7:BD7)</f>
        <v>117</v>
      </c>
      <c r="BF18" s="1"/>
      <c r="BH18" s="1"/>
    </row>
    <row r="19" spans="1:60" x14ac:dyDescent="0.25">
      <c r="A19" t="s">
        <v>27</v>
      </c>
      <c r="B19">
        <f>SUM($B$8:B8)</f>
        <v>0</v>
      </c>
      <c r="C19">
        <f>SUM($B$8:C8)</f>
        <v>0</v>
      </c>
      <c r="D19">
        <f>SUM($B$8:D8)</f>
        <v>0</v>
      </c>
      <c r="E19">
        <f>SUM($B$8:E8)</f>
        <v>0</v>
      </c>
      <c r="F19">
        <f>SUM($B$8:F8)</f>
        <v>0</v>
      </c>
      <c r="G19">
        <f>SUM($B$8:G8)</f>
        <v>0</v>
      </c>
      <c r="H19">
        <f>SUM($B$8:H8)</f>
        <v>0</v>
      </c>
      <c r="I19">
        <f>SUM($B$8:I8)</f>
        <v>0</v>
      </c>
      <c r="J19">
        <f>SUM($B$8:J8)</f>
        <v>0</v>
      </c>
      <c r="K19">
        <f>SUM($B$8:K8)</f>
        <v>0</v>
      </c>
      <c r="L19">
        <f>SUM($B$8:L8)</f>
        <v>0</v>
      </c>
      <c r="M19">
        <f>SUM($B$8:M8)</f>
        <v>0</v>
      </c>
      <c r="N19">
        <f>SUM($B$8:N8)</f>
        <v>0</v>
      </c>
      <c r="O19">
        <f>SUM($B$8:O8)</f>
        <v>0</v>
      </c>
      <c r="P19">
        <f>SUM($B$8:P8)</f>
        <v>0</v>
      </c>
      <c r="Q19">
        <f>SUM($B$8:Q8)</f>
        <v>0</v>
      </c>
      <c r="R19">
        <f>SUM($B$8:R8)</f>
        <v>0</v>
      </c>
      <c r="S19">
        <f>SUM($B$8:S8)</f>
        <v>0</v>
      </c>
      <c r="T19">
        <f>SUM($B$8:T8)</f>
        <v>0</v>
      </c>
      <c r="U19">
        <f>SUM($B$8:U8)</f>
        <v>0</v>
      </c>
      <c r="V19">
        <f>SUM($B$8:V8)</f>
        <v>0</v>
      </c>
      <c r="W19">
        <f>SUM($B$8:W8)</f>
        <v>0</v>
      </c>
      <c r="X19">
        <f>SUM($B$8:X8)</f>
        <v>7</v>
      </c>
      <c r="Y19">
        <f>SUM($B$8:Y8)</f>
        <v>14</v>
      </c>
      <c r="Z19">
        <f>SUM($B$8:Z8)</f>
        <v>14</v>
      </c>
      <c r="AA19">
        <f>SUM($B$8:AA8)</f>
        <v>14</v>
      </c>
      <c r="AB19">
        <f>SUM($B$8:AB8)</f>
        <v>14</v>
      </c>
      <c r="AC19">
        <f>SUM($B$8:AC8)</f>
        <v>14</v>
      </c>
      <c r="AD19">
        <f>SUM($B$8:AD8)</f>
        <v>14</v>
      </c>
      <c r="AE19">
        <f>SUM($B$8:AE8)</f>
        <v>14</v>
      </c>
      <c r="AF19">
        <f>SUM($B$8:AF8)</f>
        <v>14</v>
      </c>
      <c r="AG19">
        <f>SUM($B$8:AG8)</f>
        <v>14</v>
      </c>
      <c r="AH19">
        <f>SUM($B$8:AH8)</f>
        <v>14</v>
      </c>
      <c r="AI19">
        <f>SUM($B$8:AI8)</f>
        <v>14</v>
      </c>
      <c r="AJ19">
        <f>SUM($B$8:AJ8)</f>
        <v>14</v>
      </c>
      <c r="AK19">
        <f>SUM($B$8:AK8)</f>
        <v>14</v>
      </c>
      <c r="AL19">
        <f>SUM($B$8:AL8)</f>
        <v>14</v>
      </c>
      <c r="AM19">
        <f>SUM($B$8:AM8)</f>
        <v>14</v>
      </c>
      <c r="AN19">
        <f>SUM($B$8:AN8)</f>
        <v>14</v>
      </c>
      <c r="AO19">
        <f>SUM($B$8:AO8)</f>
        <v>14</v>
      </c>
      <c r="AP19">
        <f>SUM($B$8:AP8)</f>
        <v>14</v>
      </c>
      <c r="AQ19">
        <f>SUM($B$8:AQ8)</f>
        <v>14</v>
      </c>
      <c r="AR19">
        <f>SUM($B$8:AR8)</f>
        <v>29</v>
      </c>
      <c r="AS19">
        <f>SUM($B$8:AS8)</f>
        <v>44</v>
      </c>
      <c r="AT19">
        <f>SUM($B$8:AT8)</f>
        <v>59</v>
      </c>
      <c r="AU19">
        <f>SUM($B$8:AU8)</f>
        <v>74</v>
      </c>
      <c r="AV19">
        <f>SUM($B$8:AV8)</f>
        <v>111</v>
      </c>
      <c r="AW19">
        <f>SUM($B$8:AW8)</f>
        <v>157</v>
      </c>
      <c r="AX19">
        <f>SUM($B$8:AX8)</f>
        <v>169</v>
      </c>
      <c r="AY19">
        <f>SUM($B$8:AY8)</f>
        <v>182</v>
      </c>
      <c r="AZ19">
        <f>SUM($B$8:AZ8)</f>
        <v>182</v>
      </c>
      <c r="BA19">
        <f>SUM($B$8:BA8)</f>
        <v>182</v>
      </c>
      <c r="BB19">
        <f>SUM($B$8:BB8)</f>
        <v>182</v>
      </c>
      <c r="BC19">
        <f>SUM($B$8:BC8)</f>
        <v>182</v>
      </c>
      <c r="BD19">
        <f>SUM($B$8:BD8)</f>
        <v>182</v>
      </c>
      <c r="BF19" s="1"/>
      <c r="BH19" s="1"/>
    </row>
    <row r="20" spans="1:60" x14ac:dyDescent="0.25">
      <c r="A20" t="s">
        <v>28</v>
      </c>
      <c r="B20">
        <f>SUM($B$9:B9)</f>
        <v>0</v>
      </c>
      <c r="C20">
        <f>SUM($B$9:C9)</f>
        <v>0</v>
      </c>
      <c r="D20">
        <f>SUM($B$9:D9)</f>
        <v>0</v>
      </c>
      <c r="E20">
        <f>SUM($B$9:E9)</f>
        <v>0</v>
      </c>
      <c r="F20">
        <f>SUM($B$9:F9)</f>
        <v>0</v>
      </c>
      <c r="G20">
        <f>SUM($B$9:G9)</f>
        <v>0</v>
      </c>
      <c r="H20">
        <f>SUM($B$9:H9)</f>
        <v>0</v>
      </c>
      <c r="I20">
        <f>SUM($B$9:I9)</f>
        <v>0</v>
      </c>
      <c r="J20">
        <f>SUM($B$9:J9)</f>
        <v>0</v>
      </c>
      <c r="K20">
        <f>SUM($B$9:K9)</f>
        <v>0</v>
      </c>
      <c r="L20">
        <f>SUM($B$9:L9)</f>
        <v>0</v>
      </c>
      <c r="M20">
        <f>SUM($B$9:M9)</f>
        <v>0</v>
      </c>
      <c r="N20">
        <f>SUM($B$9:N9)</f>
        <v>0</v>
      </c>
      <c r="O20">
        <f>SUM($B$9:O9)</f>
        <v>0</v>
      </c>
      <c r="P20">
        <f>SUM($B$9:P9)</f>
        <v>0</v>
      </c>
      <c r="Q20">
        <f>SUM($B$9:Q9)</f>
        <v>0</v>
      </c>
      <c r="R20">
        <f>SUM($B$9:R9)</f>
        <v>0</v>
      </c>
      <c r="S20">
        <f>SUM($B$9:S9)</f>
        <v>0</v>
      </c>
      <c r="T20">
        <f>SUM($B$9:T9)</f>
        <v>0</v>
      </c>
      <c r="U20">
        <f>SUM($B$9:U9)</f>
        <v>0</v>
      </c>
      <c r="V20">
        <f>SUM($B$9:V9)</f>
        <v>0</v>
      </c>
      <c r="W20">
        <f>SUM($B$9:W9)</f>
        <v>0</v>
      </c>
      <c r="X20">
        <f>SUM($B$9:X9)</f>
        <v>0</v>
      </c>
      <c r="Y20">
        <f>SUM($B$9:Y9)</f>
        <v>0</v>
      </c>
      <c r="Z20">
        <f>SUM($B$9:Z9)</f>
        <v>0</v>
      </c>
      <c r="AA20">
        <f>SUM($B$9:AA9)</f>
        <v>0</v>
      </c>
      <c r="AB20">
        <f>SUM($B$9:AB9)</f>
        <v>0</v>
      </c>
      <c r="AC20">
        <f>SUM($B$9:AC9)</f>
        <v>0</v>
      </c>
      <c r="AD20">
        <f>SUM($B$9:AD9)</f>
        <v>0</v>
      </c>
      <c r="AE20">
        <f>SUM($B$9:AE9)</f>
        <v>0</v>
      </c>
      <c r="AF20">
        <f>SUM($B$9:AF9)</f>
        <v>0</v>
      </c>
      <c r="AG20">
        <f>SUM($B$9:AG9)</f>
        <v>0</v>
      </c>
      <c r="AH20">
        <f>SUM($B$9:AH9)</f>
        <v>0</v>
      </c>
      <c r="AI20">
        <f>SUM($B$9:AI9)</f>
        <v>0</v>
      </c>
      <c r="AJ20">
        <f>SUM($B$9:AJ9)</f>
        <v>0</v>
      </c>
      <c r="AK20">
        <f>SUM($B$9:AK9)</f>
        <v>0</v>
      </c>
      <c r="AL20">
        <f>SUM($B$9:AL9)</f>
        <v>0</v>
      </c>
      <c r="AM20">
        <f>SUM($B$9:AM9)</f>
        <v>0</v>
      </c>
      <c r="AN20">
        <f>SUM($B$9:AN9)</f>
        <v>0</v>
      </c>
      <c r="AO20">
        <f>SUM($B$9:AO9)</f>
        <v>0</v>
      </c>
      <c r="AP20">
        <f>SUM($B$9:AP9)</f>
        <v>0</v>
      </c>
      <c r="AQ20">
        <f>SUM($B$9:AQ9)</f>
        <v>0</v>
      </c>
      <c r="AR20">
        <f>SUM($B$9:AR9)</f>
        <v>0</v>
      </c>
      <c r="AS20">
        <f>SUM($B$9:AS9)</f>
        <v>0</v>
      </c>
      <c r="AT20">
        <f>SUM($B$9:AT9)</f>
        <v>0</v>
      </c>
      <c r="AU20">
        <f>SUM($B$9:AU9)</f>
        <v>4</v>
      </c>
      <c r="AV20">
        <f>SUM($B$9:AV9)</f>
        <v>4</v>
      </c>
      <c r="AW20">
        <f>SUM($B$9:AW9)</f>
        <v>4</v>
      </c>
      <c r="AX20">
        <f>SUM($B$9:AX9)</f>
        <v>4</v>
      </c>
      <c r="AY20">
        <f>SUM($B$9:AY9)</f>
        <v>4</v>
      </c>
      <c r="AZ20">
        <f>SUM($B$9:AZ9)</f>
        <v>4</v>
      </c>
      <c r="BA20">
        <f>SUM($B$9:BA9)</f>
        <v>4</v>
      </c>
      <c r="BB20">
        <f>SUM($B$9:BB9)</f>
        <v>4</v>
      </c>
      <c r="BC20">
        <f>SUM($B$9:BC9)</f>
        <v>4</v>
      </c>
      <c r="BD20">
        <f>SUM($B$9:BD9)</f>
        <v>4</v>
      </c>
      <c r="BF20" s="1"/>
      <c r="BH20" s="1"/>
    </row>
    <row r="21" spans="1:60" x14ac:dyDescent="0.25">
      <c r="BF21" s="1"/>
      <c r="BH21" s="1"/>
    </row>
    <row r="22" spans="1:60" x14ac:dyDescent="0.25">
      <c r="A22" t="s">
        <v>31</v>
      </c>
      <c r="B22">
        <v>1971</v>
      </c>
      <c r="C22">
        <v>1972</v>
      </c>
      <c r="D22">
        <v>1973</v>
      </c>
      <c r="E22">
        <v>1974</v>
      </c>
      <c r="F22">
        <v>1975</v>
      </c>
      <c r="G22">
        <v>1976</v>
      </c>
      <c r="H22">
        <v>1977</v>
      </c>
      <c r="I22">
        <v>1978</v>
      </c>
      <c r="J22">
        <v>1979</v>
      </c>
      <c r="K22">
        <v>1980</v>
      </c>
      <c r="L22">
        <v>1981</v>
      </c>
      <c r="M22">
        <v>1982</v>
      </c>
      <c r="N22">
        <v>1983</v>
      </c>
      <c r="O22">
        <v>1984</v>
      </c>
      <c r="P22">
        <v>1985</v>
      </c>
      <c r="Q22">
        <v>1986</v>
      </c>
      <c r="R22">
        <v>1987</v>
      </c>
      <c r="S22">
        <v>1988</v>
      </c>
      <c r="T22">
        <v>1989</v>
      </c>
      <c r="U22">
        <v>1990</v>
      </c>
      <c r="V22">
        <v>1991</v>
      </c>
      <c r="W22">
        <v>1992</v>
      </c>
      <c r="X22">
        <v>1993</v>
      </c>
      <c r="Y22">
        <v>1994</v>
      </c>
      <c r="Z22">
        <v>1995</v>
      </c>
      <c r="AA22">
        <v>1996</v>
      </c>
      <c r="AB22">
        <v>1997</v>
      </c>
      <c r="AC22">
        <v>1998</v>
      </c>
      <c r="AD22">
        <v>1999</v>
      </c>
      <c r="AE22">
        <v>2000</v>
      </c>
      <c r="AF22">
        <v>2001</v>
      </c>
      <c r="AG22">
        <v>2002</v>
      </c>
      <c r="AH22">
        <v>2003</v>
      </c>
      <c r="AI22">
        <v>2004</v>
      </c>
      <c r="AJ22">
        <v>2005</v>
      </c>
      <c r="AK22">
        <v>2006</v>
      </c>
      <c r="AL22">
        <v>2007</v>
      </c>
      <c r="AM22">
        <v>2008</v>
      </c>
      <c r="AN22">
        <v>2009</v>
      </c>
      <c r="AO22">
        <v>2010</v>
      </c>
      <c r="AP22">
        <v>2011</v>
      </c>
      <c r="AQ22">
        <v>2012</v>
      </c>
      <c r="AR22">
        <v>2013</v>
      </c>
      <c r="AS22">
        <v>2014</v>
      </c>
      <c r="AT22">
        <v>2015</v>
      </c>
      <c r="AU22">
        <v>2016</v>
      </c>
      <c r="AV22">
        <v>2017</v>
      </c>
      <c r="AW22">
        <v>2018</v>
      </c>
      <c r="AX22">
        <v>2019</v>
      </c>
      <c r="AY22">
        <v>2020</v>
      </c>
      <c r="AZ22">
        <v>2021</v>
      </c>
      <c r="BA22">
        <v>2022</v>
      </c>
      <c r="BB22">
        <v>2023</v>
      </c>
      <c r="BC22">
        <v>2024</v>
      </c>
      <c r="BD22">
        <v>2025</v>
      </c>
      <c r="BE22" t="s">
        <v>8</v>
      </c>
      <c r="BF22" t="s">
        <v>9</v>
      </c>
      <c r="BG22" t="s">
        <v>10</v>
      </c>
      <c r="BH22" t="s">
        <v>11</v>
      </c>
    </row>
    <row r="23" spans="1:60" x14ac:dyDescent="0.25">
      <c r="A23" t="s">
        <v>21</v>
      </c>
      <c r="L23">
        <v>1</v>
      </c>
      <c r="M23">
        <v>193</v>
      </c>
      <c r="N23">
        <v>219</v>
      </c>
      <c r="O23">
        <v>180</v>
      </c>
      <c r="P23">
        <v>126</v>
      </c>
      <c r="Q23">
        <v>516</v>
      </c>
      <c r="R23">
        <v>524</v>
      </c>
      <c r="S23">
        <v>184</v>
      </c>
      <c r="T23">
        <v>60</v>
      </c>
      <c r="U23">
        <v>87</v>
      </c>
      <c r="V23">
        <v>96</v>
      </c>
      <c r="W23">
        <v>103</v>
      </c>
      <c r="X23">
        <v>304</v>
      </c>
      <c r="Y23">
        <v>272</v>
      </c>
      <c r="Z23">
        <v>51</v>
      </c>
      <c r="AA23">
        <v>313</v>
      </c>
      <c r="AB23">
        <v>48</v>
      </c>
      <c r="AC23">
        <v>64</v>
      </c>
      <c r="AD23">
        <v>64</v>
      </c>
      <c r="AE23">
        <v>64</v>
      </c>
      <c r="AF23">
        <v>75</v>
      </c>
      <c r="AG23">
        <v>76</v>
      </c>
      <c r="AH23">
        <v>79</v>
      </c>
      <c r="AI23">
        <v>75</v>
      </c>
      <c r="AJ23">
        <v>38</v>
      </c>
      <c r="AK23">
        <v>49</v>
      </c>
      <c r="AL23">
        <v>41</v>
      </c>
      <c r="AM23">
        <v>42</v>
      </c>
      <c r="AN23">
        <v>42</v>
      </c>
      <c r="AO23">
        <v>52</v>
      </c>
      <c r="AP23">
        <v>45</v>
      </c>
      <c r="AQ23">
        <v>28</v>
      </c>
      <c r="AR23">
        <v>10</v>
      </c>
      <c r="AS23">
        <v>10</v>
      </c>
      <c r="AT23">
        <v>7</v>
      </c>
      <c r="BE23">
        <v>4137</v>
      </c>
      <c r="BF23" s="1">
        <v>0.1</v>
      </c>
      <c r="BG23">
        <v>4137</v>
      </c>
      <c r="BH23" s="1">
        <v>0.1</v>
      </c>
    </row>
    <row r="24" spans="1:60" x14ac:dyDescent="0.25">
      <c r="A24" t="s">
        <v>32</v>
      </c>
      <c r="M24">
        <v>97</v>
      </c>
      <c r="N24">
        <v>201</v>
      </c>
      <c r="O24">
        <v>161</v>
      </c>
      <c r="P24">
        <v>133</v>
      </c>
      <c r="Q24">
        <v>51</v>
      </c>
      <c r="R24">
        <v>178</v>
      </c>
      <c r="S24">
        <v>179</v>
      </c>
      <c r="T24">
        <v>16</v>
      </c>
      <c r="U24">
        <v>6</v>
      </c>
      <c r="V24">
        <v>69</v>
      </c>
      <c r="W24">
        <v>81</v>
      </c>
      <c r="X24">
        <v>87</v>
      </c>
      <c r="Y24">
        <v>8</v>
      </c>
      <c r="Z24">
        <v>8</v>
      </c>
      <c r="AA24">
        <v>6</v>
      </c>
      <c r="AB24">
        <v>6</v>
      </c>
      <c r="AC24">
        <v>3</v>
      </c>
      <c r="AG24">
        <v>116</v>
      </c>
      <c r="AH24">
        <v>114</v>
      </c>
      <c r="AI24">
        <v>27</v>
      </c>
      <c r="BE24">
        <v>1545</v>
      </c>
      <c r="BF24" s="1">
        <v>3.6999999999999998E-2</v>
      </c>
      <c r="BG24">
        <v>1545</v>
      </c>
      <c r="BH24" s="1">
        <v>3.6999999999999998E-2</v>
      </c>
    </row>
    <row r="25" spans="1:60" x14ac:dyDescent="0.25">
      <c r="A25" t="s">
        <v>22</v>
      </c>
      <c r="R25">
        <v>225</v>
      </c>
      <c r="S25">
        <v>225</v>
      </c>
      <c r="AM25">
        <v>36</v>
      </c>
      <c r="AN25">
        <v>36</v>
      </c>
      <c r="AT25">
        <v>35</v>
      </c>
      <c r="AU25">
        <v>35</v>
      </c>
      <c r="AV25">
        <v>55</v>
      </c>
      <c r="AW25">
        <v>76</v>
      </c>
      <c r="AX25">
        <v>40</v>
      </c>
      <c r="AY25">
        <v>40</v>
      </c>
      <c r="AZ25">
        <v>65</v>
      </c>
      <c r="BA25">
        <v>20</v>
      </c>
      <c r="BE25">
        <v>888</v>
      </c>
      <c r="BF25" s="1">
        <v>1.2E-2</v>
      </c>
      <c r="BG25">
        <v>888</v>
      </c>
      <c r="BH25" s="1">
        <v>1.2E-2</v>
      </c>
    </row>
    <row r="26" spans="1:60" x14ac:dyDescent="0.25">
      <c r="A26" t="s">
        <v>23</v>
      </c>
      <c r="M26">
        <v>393</v>
      </c>
      <c r="N26">
        <v>592</v>
      </c>
      <c r="O26">
        <v>793</v>
      </c>
      <c r="P26">
        <v>703</v>
      </c>
      <c r="Q26">
        <v>760</v>
      </c>
      <c r="R26">
        <v>831</v>
      </c>
      <c r="S26">
        <v>199</v>
      </c>
      <c r="T26">
        <v>25</v>
      </c>
      <c r="AI26">
        <v>20</v>
      </c>
      <c r="AT26">
        <v>43</v>
      </c>
      <c r="AU26">
        <v>43</v>
      </c>
      <c r="BC26">
        <v>8</v>
      </c>
      <c r="BE26">
        <v>4409</v>
      </c>
      <c r="BF26" s="1">
        <v>8.6999999999999994E-2</v>
      </c>
      <c r="BG26">
        <v>4409</v>
      </c>
      <c r="BH26" s="1">
        <v>8.6999999999999994E-2</v>
      </c>
    </row>
    <row r="27" spans="1:60" x14ac:dyDescent="0.25">
      <c r="A27" t="s">
        <v>24</v>
      </c>
      <c r="AG27">
        <v>4</v>
      </c>
      <c r="AH27">
        <v>18</v>
      </c>
      <c r="BE27">
        <v>21</v>
      </c>
      <c r="BF27" s="1">
        <v>3.0000000000000001E-3</v>
      </c>
      <c r="BG27">
        <v>21</v>
      </c>
      <c r="BH27" s="1">
        <v>3.0000000000000001E-3</v>
      </c>
    </row>
    <row r="28" spans="1:60" x14ac:dyDescent="0.25">
      <c r="A28" t="s">
        <v>25</v>
      </c>
      <c r="AE28">
        <v>34</v>
      </c>
      <c r="AF28">
        <v>17</v>
      </c>
      <c r="AG28">
        <v>22</v>
      </c>
      <c r="AH28">
        <v>23</v>
      </c>
      <c r="BE28">
        <v>96</v>
      </c>
      <c r="BF28" s="1">
        <v>6.0000000000000001E-3</v>
      </c>
      <c r="BG28">
        <v>96</v>
      </c>
      <c r="BH28" s="1">
        <v>6.0000000000000001E-3</v>
      </c>
    </row>
    <row r="29" spans="1:60" x14ac:dyDescent="0.25">
      <c r="A29" t="s">
        <v>26</v>
      </c>
      <c r="AV29">
        <v>29</v>
      </c>
      <c r="AW29">
        <v>88</v>
      </c>
      <c r="BE29">
        <v>118</v>
      </c>
      <c r="BF29" s="1">
        <v>7.0000000000000001E-3</v>
      </c>
      <c r="BG29">
        <v>118</v>
      </c>
      <c r="BH29" s="1">
        <v>7.0000000000000001E-3</v>
      </c>
    </row>
    <row r="30" spans="1:60" x14ac:dyDescent="0.25">
      <c r="A30" t="s">
        <v>27</v>
      </c>
      <c r="X30">
        <v>7</v>
      </c>
      <c r="Y30">
        <v>7</v>
      </c>
      <c r="AR30">
        <v>15</v>
      </c>
      <c r="AS30">
        <v>15</v>
      </c>
      <c r="AT30">
        <v>15</v>
      </c>
      <c r="AU30">
        <v>15</v>
      </c>
      <c r="AV30">
        <v>37</v>
      </c>
      <c r="AW30">
        <v>46</v>
      </c>
      <c r="AX30">
        <v>12</v>
      </c>
      <c r="AY30">
        <v>13</v>
      </c>
      <c r="BE30">
        <v>182</v>
      </c>
      <c r="BF30" s="1">
        <v>6.0000000000000001E-3</v>
      </c>
      <c r="BG30">
        <v>182</v>
      </c>
      <c r="BH30" s="1">
        <v>6.0000000000000001E-3</v>
      </c>
    </row>
    <row r="31" spans="1:60" x14ac:dyDescent="0.25">
      <c r="A31" t="s">
        <v>28</v>
      </c>
      <c r="AU31">
        <v>4</v>
      </c>
      <c r="BE31">
        <v>4</v>
      </c>
      <c r="BF31" s="1">
        <v>1E-3</v>
      </c>
      <c r="BG31">
        <v>4</v>
      </c>
      <c r="BH31" s="1">
        <v>1E-3</v>
      </c>
    </row>
  </sheetData>
  <autoFilter ref="A1:A9" xr:uid="{10B4F002-AF67-47CD-96A8-DDDFDB9D127C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import-export-values_1971-2025_</vt:lpstr>
      <vt:lpstr>graph-generation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 Kwok</dc:creator>
  <cp:lastModifiedBy>Shun Kwok</cp:lastModifiedBy>
  <dcterms:created xsi:type="dcterms:W3CDTF">2025-04-30T06:49:49Z</dcterms:created>
  <dcterms:modified xsi:type="dcterms:W3CDTF">2025-05-01T03:11:22Z</dcterms:modified>
</cp:coreProperties>
</file>